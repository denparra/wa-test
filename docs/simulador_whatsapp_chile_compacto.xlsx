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uraciones" sheetId="1" state="visible" r:id="rId1"/>
    <sheet xmlns:r="http://schemas.openxmlformats.org/officeDocument/2006/relationships" name="Simulacion" sheetId="2" state="visible" r:id="rId2"/>
  </sheets>
  <definedNames>
    <definedName name="country">'Configuraciones'!$B$4</definedName>
    <definedName name="currency">'Configuraciones'!$B$5</definedName>
    <definedName name="default_month">'Configuraciones'!$B$6</definedName>
    <definedName name="tax_twilio">'Configuraciones'!$B$9</definedName>
    <definedName name="tax_meta">'Configuraciones'!$B$10</definedName>
    <definedName name="twilio_out">'Configuraciones'!$B$13</definedName>
    <definedName name="twilio_in">'Configuraciones'!$B$14</definedName>
    <definedName name="twilio_fail">'Configuraciones'!$B$15</definedName>
    <definedName name="meta_marketing">'Configuraciones'!$B$19</definedName>
    <definedName name="meta_utility">'Configuraciones'!$B$20</definedName>
    <definedName name="meta_auth">'Configuraciones'!$B$21</definedName>
    <definedName name="meta_service">'Configuraciones'!$B$22</definedName>
    <definedName name="eng_enabled">'Configuraciones'!$B$25</definedName>
    <definedName name="eng_fee">'Configuraciones'!$B$26</definedName>
    <definedName name="eng_free">'Configuraciones'!$B$27</definedName>
  </definedNames>
  <calcPr calcId="124519" fullCalcOnLoad="1"/>
</workbook>
</file>

<file path=xl/styles.xml><?xml version="1.0" encoding="utf-8"?>
<styleSheet xmlns="http://schemas.openxmlformats.org/spreadsheetml/2006/main">
  <numFmts count="2">
    <numFmt numFmtId="164" formatCode="$0.0000"/>
    <numFmt numFmtId="165" formatCode="$#,##0.00"/>
  </numFmts>
  <fonts count="9">
    <font>
      <name val="Calibri"/>
      <family val="2"/>
      <color theme="1"/>
      <sz val="11"/>
      <scheme val="minor"/>
    </font>
    <font>
      <b val="1"/>
      <color rgb="00FFFFFF"/>
      <sz val="16"/>
    </font>
    <font>
      <b val="1"/>
      <sz val="12"/>
    </font>
    <font>
      <b val="1"/>
    </font>
    <font>
      <color rgb="000000FF"/>
    </font>
    <font>
      <color rgb="000563C1"/>
      <u val="single"/>
    </font>
    <font>
      <b val="1"/>
      <color rgb="00FFFFFF"/>
    </font>
    <font>
      <color rgb="00000000"/>
    </font>
    <font/>
  </fonts>
  <fills count="6">
    <fill>
      <patternFill/>
    </fill>
    <fill>
      <patternFill patternType="gray125"/>
    </fill>
    <fill>
      <patternFill patternType="solid">
        <fgColor rgb="001F4E79"/>
      </patternFill>
    </fill>
    <fill>
      <patternFill patternType="solid">
        <fgColor rgb="00D9E1F2"/>
      </patternFill>
    </fill>
    <fill>
      <patternFill patternType="solid">
        <fgColor rgb="00FFF2CC"/>
      </patternFill>
    </fill>
    <fill>
      <patternFill patternType="solid">
        <fgColor rgb="00305496"/>
      </patternFill>
    </fill>
  </fills>
  <borders count="7">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10" fontId="4" fillId="0" borderId="1" applyAlignment="1" pivotButton="0" quotePrefix="0" xfId="0">
      <alignment horizontal="left" vertical="center" wrapText="1"/>
    </xf>
    <xf numFmtId="0" fontId="0" fillId="0" borderId="1" applyAlignment="1" pivotButton="0" quotePrefix="0" xfId="0">
      <alignment horizontal="left" vertical="center" wrapText="1"/>
    </xf>
    <xf numFmtId="164" fontId="4" fillId="0" borderId="1" applyAlignment="1" pivotButton="0" quotePrefix="0" xfId="0">
      <alignment horizontal="left" vertical="center" wrapText="1"/>
    </xf>
    <xf numFmtId="0" fontId="3" fillId="4" borderId="1" applyAlignment="1" pivotButton="0" quotePrefix="0" xfId="0">
      <alignment horizontal="left" vertical="center" wrapText="1"/>
    </xf>
    <xf numFmtId="1"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2" fillId="3" borderId="0" pivotButton="0" quotePrefix="0" xfId="0"/>
    <xf numFmtId="165" fontId="0" fillId="0" borderId="1" applyAlignment="1" pivotButton="0" quotePrefix="0" xfId="0">
      <alignment horizontal="right" vertical="center" wrapText="1"/>
    </xf>
    <xf numFmtId="0" fontId="3" fillId="0" borderId="1" pivotButton="0" quotePrefix="0" xfId="0"/>
    <xf numFmtId="1" fontId="0" fillId="0" borderId="1" applyAlignment="1" pivotButton="0" quotePrefix="0" xfId="0">
      <alignment horizontal="right" vertical="center" wrapText="1"/>
    </xf>
    <xf numFmtId="10" fontId="0" fillId="0" borderId="1" applyAlignment="1" pivotButton="0" quotePrefix="0" xfId="0">
      <alignment horizontal="right" vertical="center" wrapText="1"/>
    </xf>
    <xf numFmtId="0" fontId="6" fillId="5" borderId="1" applyAlignment="1" pivotButton="0" quotePrefix="0" xfId="0">
      <alignment horizontal="center" vertical="center" wrapText="1"/>
    </xf>
    <xf numFmtId="0" fontId="0" fillId="0" borderId="1" applyAlignment="1" pivotButton="0" quotePrefix="0" xfId="0">
      <alignment horizontal="right" vertical="center" wrapText="1"/>
    </xf>
    <xf numFmtId="1" fontId="4" fillId="0" borderId="1" applyAlignment="1" pivotButton="0" quotePrefix="0" xfId="0">
      <alignment horizontal="right" vertical="center" wrapText="1"/>
    </xf>
    <xf numFmtId="10" fontId="4" fillId="0" borderId="1" applyAlignment="1" pivotButton="0" quotePrefix="0" xfId="0">
      <alignment horizontal="right" vertical="center" wrapText="1"/>
    </xf>
    <xf numFmtId="0" fontId="4" fillId="0" borderId="1" applyAlignment="1" pivotButton="0" quotePrefix="0" xfId="0">
      <alignment horizontal="right" vertical="center" wrapText="1"/>
    </xf>
    <xf numFmtId="165" fontId="7" fillId="0" borderId="1" applyAlignment="1" pivotButton="0" quotePrefix="0" xfId="0">
      <alignment horizontal="right" vertical="center" wrapText="1"/>
    </xf>
    <xf numFmtId="165" fontId="4" fillId="0" borderId="1" applyAlignment="1" pivotButton="0" quotePrefix="0" xfId="0">
      <alignment horizontal="right" vertical="center" wrapText="1"/>
    </xf>
    <xf numFmtId="0" fontId="0" fillId="0" borderId="4" pivotButton="0" quotePrefix="0" xfId="0"/>
    <xf numFmtId="0" fontId="0" fillId="0" borderId="5" pivotButton="0" quotePrefix="0" xfId="0"/>
    <xf numFmtId="0" fontId="8" fillId="0" borderId="6" pivotButton="0" quotePrefix="0" xfId="0"/>
    <xf numFmtId="0" fontId="2" fillId="3" borderId="1" applyAlignment="1" pivotButton="0" quotePrefix="0" xfId="0">
      <alignment horizontal="left" vertical="center"/>
    </xf>
    <xf numFmtId="0" fontId="0" fillId="0" borderId="1" applyAlignment="1" pivotButton="0" quotePrefix="0" xfId="0">
      <alignment horizontal="left" vertical="center"/>
    </xf>
    <xf numFmtId="165" fontId="3" fillId="0" borderId="1" applyAlignment="1" pivotButton="0" quotePrefix="0" xfId="0">
      <alignment horizontal="left" vertical="center"/>
    </xf>
    <xf numFmtId="165" fontId="8" fillId="0" borderId="1" applyAlignment="1" pivotButton="0" quotePrefix="0" xfId="0">
      <alignment horizontal="right" vertical="center"/>
    </xf>
    <xf numFmtId="0" fontId="3" fillId="0" borderId="1" applyAlignment="1" pivotButton="0" quotePrefix="0" xfId="0">
      <alignment horizontal="left" vertical="center"/>
    </xf>
    <xf numFmtId="0" fontId="4" fillId="0" borderId="1" applyAlignment="1" pivotButton="0" quotePrefix="0" xfId="0">
      <alignment horizontal="left" vertical="center"/>
    </xf>
    <xf numFmtId="1" fontId="3" fillId="0" borderId="1" applyAlignment="1" pivotButton="0" quotePrefix="0" xfId="0">
      <alignment horizontal="left" vertical="center"/>
    </xf>
    <xf numFmtId="1" fontId="8" fillId="0" borderId="1" applyAlignment="1" pivotButton="0" quotePrefix="0" xfId="0">
      <alignment horizontal="right" vertical="center"/>
    </xf>
    <xf numFmtId="10" fontId="3" fillId="0" borderId="1" applyAlignment="1" pivotButton="0" quotePrefix="0" xfId="0">
      <alignment horizontal="left" vertical="center"/>
    </xf>
    <xf numFmtId="10" fontId="8" fillId="0" borderId="1" applyAlignment="1" pivotButton="0" quotePrefix="0" xfId="0">
      <alignment horizontal="right" vertical="center"/>
    </xf>
    <xf numFmtId="0" fontId="8"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blCamp" displayName="tblCamp" ref="A12:AH32" headerRowCount="1">
  <autoFilter ref="A12:AH32"/>
  <tableColumns count="34">
    <tableColumn id="1" name="ID"/>
    <tableColumn id="2" name="Campaña"/>
    <tableColumn id="3" name="Mes"/>
    <tableColumn id="4" name="Out Category"/>
    <tableColumn id="5" name="Out Sent"/>
    <tableColumn id="6" name="Fail Rate"/>
    <tableColumn id="7" name="Out Delivered"/>
    <tableColumn id="8" name="Meta Out $"/>
    <tableColumn id="9" name="Twilio Out $"/>
    <tableColumn id="10" name="Respond Rate"/>
    <tableColumn id="11" name="Responders"/>
    <tableColumn id="12" name="In msgs / resp"/>
    <tableColumn id="13" name="Inbound msgs"/>
    <tableColumn id="14" name="Reply tmpl / resp"/>
    <tableColumn id="15" name="Reply Category"/>
    <tableColumn id="16" name="Reply Sent"/>
    <tableColumn id="17" name="Reply Delivered"/>
    <tableColumn id="18" name="Meta Reply $"/>
    <tableColumn id="19" name="Twilio In $"/>
    <tableColumn id="20" name="Twilio Reply $"/>
    <tableColumn id="21" name="Engage %"/>
    <tableColumn id="22" name="Engage msgs"/>
    <tableColumn id="23" name="Engage $ (alloc)"/>
    <tableColumn id="24" name="Meta subtotal $"/>
    <tableColumn id="25" name="Twilio subtotal $"/>
    <tableColumn id="26" name="IVA Meta $"/>
    <tableColumn id="27" name="IVA Twilio $"/>
    <tableColumn id="28" name="Total con IVA"/>
    <tableColumn id="29" name="Conv Rate"/>
    <tableColumn id="30" name="Conversions"/>
    <tableColumn id="31" name="Rev/Conv"/>
    <tableColumn id="32" name="Revenue"/>
    <tableColumn id="33" name="Profit"/>
    <tableColumn id="34" name="ROI"/>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usiness.whatsapp.com/products/platform-pricing?lang=es_LA" TargetMode="External" Id="rId1"/><Relationship Type="http://schemas.openxmlformats.org/officeDocument/2006/relationships/hyperlink" Target="https://www.twilio.com/en-us/whatsapp/pricing" TargetMode="External" Id="rId2"/><Relationship Type="http://schemas.openxmlformats.org/officeDocument/2006/relationships/hyperlink" Target="https://help.manychat.com/hc/en-us/articles/14281380243740-WhatsApp-pricing-guide" TargetMode="External" Id="rId3"/><Relationship Type="http://schemas.openxmlformats.org/officeDocument/2006/relationships/hyperlink" Target="https://www.salesforce.com/en-us/wp-content/uploads/sites/4/assets/pdf/whatsapp-business-messaging-rate-card-mm-lite-dec-1-2025-to-jan-31-2026.pdf" TargetMode="External" Id="rId4"/></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F33"/>
  <sheetViews>
    <sheetView showGridLines="0" workbookViewId="0">
      <pane ySplit="2" topLeftCell="A3" activePane="bottomLeft" state="frozen"/>
      <selection pane="bottomLeft" activeCell="A1" sqref="A1"/>
    </sheetView>
  </sheetViews>
  <sheetFormatPr baseColWidth="8" defaultRowHeight="15"/>
  <cols>
    <col width="42" customWidth="1" min="1" max="1"/>
    <col width="62" customWidth="1" min="2" max="2"/>
    <col width="2" customWidth="1" min="3" max="3"/>
    <col width="10" customWidth="1" min="4" max="4"/>
    <col width="64" customWidth="1" min="5" max="5"/>
    <col width="2" customWidth="1" min="6" max="6"/>
  </cols>
  <sheetData>
    <row r="1">
      <c r="A1" s="1" t="inlineStr">
        <is>
          <t>Simulador de Campañas WhatsApp — Chile (compacto)</t>
        </is>
      </c>
    </row>
    <row r="3">
      <c r="A3" s="2" t="inlineStr">
        <is>
          <t>General</t>
        </is>
      </c>
      <c r="B3" s="23" t="n"/>
      <c r="C3" s="23" t="n"/>
      <c r="D3" s="23" t="n"/>
      <c r="E3" s="23" t="n"/>
      <c r="F3" s="24" t="n"/>
    </row>
    <row r="4">
      <c r="A4" s="3" t="inlineStr">
        <is>
          <t>País</t>
        </is>
      </c>
      <c r="B4" s="4" t="inlineStr">
        <is>
          <t>Chile</t>
        </is>
      </c>
    </row>
    <row r="5">
      <c r="A5" s="3" t="inlineStr">
        <is>
          <t>Moneda</t>
        </is>
      </c>
      <c r="B5" s="4" t="inlineStr">
        <is>
          <t>USD</t>
        </is>
      </c>
    </row>
    <row r="6">
      <c r="A6" s="3" t="inlineStr">
        <is>
          <t>Mes por defecto (YYYY-MM)</t>
        </is>
      </c>
      <c r="B6" s="4" t="inlineStr">
        <is>
          <t>2026-01</t>
        </is>
      </c>
    </row>
    <row r="8">
      <c r="A8" s="2" t="inlineStr">
        <is>
          <t>Impuestos (IVA / impuesto sobre cargos)</t>
        </is>
      </c>
      <c r="B8" s="23" t="n"/>
      <c r="C8" s="23" t="n"/>
      <c r="D8" s="23" t="n"/>
      <c r="E8" s="23" t="n"/>
      <c r="F8" s="24" t="n"/>
    </row>
    <row r="9">
      <c r="A9" s="3" t="inlineStr">
        <is>
          <t>IVA sobre cargos Twilio</t>
        </is>
      </c>
      <c r="B9" s="5" t="n">
        <v>0.19</v>
      </c>
      <c r="D9" s="6" t="inlineStr">
        <is>
          <t>Nota</t>
        </is>
      </c>
      <c r="E9" s="6" t="inlineStr">
        <is>
          <t>Meta cobra solo cuando el mensaje se ENTREGA.</t>
        </is>
      </c>
    </row>
    <row r="10">
      <c r="A10" s="3" t="inlineStr">
        <is>
          <t>IVA sobre cargos Meta (pass-through)</t>
        </is>
      </c>
      <c r="B10" s="5" t="n">
        <v>0.19</v>
      </c>
      <c r="D10" s="6" t="inlineStr">
        <is>
          <t>Nota</t>
        </is>
      </c>
      <c r="E10" s="6" t="inlineStr">
        <is>
          <t>Twilio cobra una tarifa fija por mensaje (in/out).</t>
        </is>
      </c>
    </row>
    <row r="12">
      <c r="A12" s="2" t="inlineStr">
        <is>
          <t>Tarifas Twilio (USD)</t>
        </is>
      </c>
      <c r="B12" s="23" t="n"/>
      <c r="C12" s="23" t="n"/>
      <c r="D12" s="23" t="n"/>
      <c r="E12" s="23" t="n"/>
      <c r="F12" s="24" t="n"/>
    </row>
    <row r="13">
      <c r="A13" s="3" t="inlineStr">
        <is>
          <t>Tarifa por mensaje saliente (Outbound)</t>
        </is>
      </c>
      <c r="B13" s="7" t="n">
        <v>0.005</v>
      </c>
    </row>
    <row r="14">
      <c r="A14" s="3" t="inlineStr">
        <is>
          <t>Tarifa por mensaje entrante (Inbound)</t>
        </is>
      </c>
      <c r="B14" s="7" t="n">
        <v>0.005</v>
      </c>
    </row>
    <row r="15">
      <c r="A15" s="3" t="inlineStr">
        <is>
          <t>Tarifa por procesamiento fallido (opcional)</t>
        </is>
      </c>
      <c r="B15" s="7" t="n">
        <v>0.001</v>
      </c>
    </row>
    <row r="17">
      <c r="A17" s="2" t="inlineStr">
        <is>
          <t>Tarifas Meta por mensaje ENTREGADO — Chile (USD)</t>
        </is>
      </c>
      <c r="B17" s="23" t="n"/>
      <c r="C17" s="23" t="n"/>
      <c r="D17" s="23" t="n"/>
      <c r="E17" s="23" t="n"/>
      <c r="F17" s="24" t="n"/>
    </row>
    <row r="18">
      <c r="A18" s="8" t="inlineStr">
        <is>
          <t>Categoría</t>
        </is>
      </c>
      <c r="B18" s="8" t="inlineStr">
        <is>
          <t>Tarifa (USD)</t>
        </is>
      </c>
    </row>
    <row r="19">
      <c r="A19" s="6" t="inlineStr">
        <is>
          <t>Marketing</t>
        </is>
      </c>
      <c r="B19" s="7" t="n">
        <v>0.1022</v>
      </c>
    </row>
    <row r="20">
      <c r="A20" s="6" t="inlineStr">
        <is>
          <t>Utility</t>
        </is>
      </c>
      <c r="B20" s="7" t="n">
        <v>0.023</v>
      </c>
    </row>
    <row r="21">
      <c r="A21" s="6" t="inlineStr">
        <is>
          <t>Authentication</t>
        </is>
      </c>
      <c r="B21" s="7" t="n">
        <v>0.023</v>
      </c>
    </row>
    <row r="22">
      <c r="A22" s="6" t="inlineStr">
        <is>
          <t>Service</t>
        </is>
      </c>
      <c r="B22" s="7" t="n">
        <v>0</v>
      </c>
    </row>
    <row r="24">
      <c r="A24" s="2" t="inlineStr">
        <is>
          <t>Engagement Suite (opcional)</t>
        </is>
      </c>
      <c r="B24" s="23" t="n"/>
      <c r="C24" s="23" t="n"/>
      <c r="D24" s="23" t="n"/>
      <c r="E24" s="23" t="n"/>
      <c r="F24" s="24" t="n"/>
    </row>
    <row r="25">
      <c r="A25" s="3" t="inlineStr">
        <is>
          <t>Habilitado? (Yes/No)</t>
        </is>
      </c>
      <c r="B25" s="4" t="inlineStr">
        <is>
          <t>No</t>
        </is>
      </c>
    </row>
    <row r="26">
      <c r="A26" s="3" t="inlineStr">
        <is>
          <t>Tarifa por mensaje cuando aplica (USD)</t>
        </is>
      </c>
      <c r="B26" s="7" t="n">
        <v>0.015</v>
      </c>
    </row>
    <row r="27">
      <c r="A27" s="3" t="inlineStr">
        <is>
          <t>Franquicia gratis por mes (mensajes)</t>
        </is>
      </c>
      <c r="B27" s="9" t="n">
        <v>1000</v>
      </c>
    </row>
    <row r="29">
      <c r="A29" s="2" t="inlineStr">
        <is>
          <t>Fuentes (referencia)</t>
        </is>
      </c>
      <c r="B29" s="23" t="n"/>
      <c r="C29" s="23" t="n"/>
      <c r="D29" s="23" t="n"/>
      <c r="E29" s="23" t="n"/>
      <c r="F29" s="24" t="n"/>
    </row>
    <row r="30">
      <c r="A30" s="6" t="inlineStr">
        <is>
          <t>WhatsApp Platform Pricing (per-message, cobra al entregar)</t>
        </is>
      </c>
      <c r="B30" s="10" t="inlineStr">
        <is>
          <t>https://business.whatsapp.com/products/platform-pricing?lang=es_LA</t>
        </is>
      </c>
    </row>
    <row r="31">
      <c r="A31" s="6" t="inlineStr">
        <is>
          <t>Twilio WhatsApp pricing (fee $0.005 in/out)</t>
        </is>
      </c>
      <c r="B31" s="10" t="inlineStr">
        <is>
          <t>https://www.twilio.com/en-us/whatsapp/pricing</t>
        </is>
      </c>
    </row>
    <row r="32">
      <c r="A32" s="6" t="inlineStr">
        <is>
          <t>Manychat rates (USD, effective Jan 1 2026; incluye Chile)</t>
        </is>
      </c>
      <c r="B32" s="10" t="inlineStr">
        <is>
          <t>https://help.manychat.com/hc/en-us/articles/14281380243740-WhatsApp-pricing-guide</t>
        </is>
      </c>
    </row>
    <row r="33">
      <c r="A33" s="6" t="inlineStr">
        <is>
          <t>Salesforce rate card (Service=0; Utility/Auth iguales para Chile)</t>
        </is>
      </c>
      <c r="B33" s="10" t="inlineStr">
        <is>
          <t>https://www.salesforce.com/en-us/wp-content/uploads/sites/4/assets/pdf/whatsapp-business-messaging-rate-card-mm-lite-dec-1-2025-to-jan-31-2026.pdf</t>
        </is>
      </c>
    </row>
  </sheetData>
  <mergeCells count="7">
    <mergeCell ref="A24:F24"/>
    <mergeCell ref="A1:F1"/>
    <mergeCell ref="A8:F8"/>
    <mergeCell ref="A17:F17"/>
    <mergeCell ref="A12:F12"/>
    <mergeCell ref="A3:F3"/>
    <mergeCell ref="A29:F29"/>
  </mergeCells>
  <dataValidations count="1">
    <dataValidation sqref="B25" showDropDown="0" showInputMessage="0" showErrorMessage="0" allowBlank="1" type="list">
      <formula1>"Yes,No"</formula1>
    </dataValidation>
  </dataValidations>
  <hyperlinks>
    <hyperlink xmlns:r="http://schemas.openxmlformats.org/officeDocument/2006/relationships" ref="B30" r:id="rId1"/>
    <hyperlink xmlns:r="http://schemas.openxmlformats.org/officeDocument/2006/relationships" ref="B31" r:id="rId2"/>
    <hyperlink xmlns:r="http://schemas.openxmlformats.org/officeDocument/2006/relationships" ref="B32" r:id="rId3"/>
    <hyperlink xmlns:r="http://schemas.openxmlformats.org/officeDocument/2006/relationships" ref="B3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39"/>
  <sheetViews>
    <sheetView showGridLines="0" workbookViewId="0">
      <pane ySplit="12" topLeftCell="A13" activePane="bottomLeft" state="frozen"/>
      <selection pane="bottomLeft" activeCell="A1" sqref="A1"/>
    </sheetView>
  </sheetViews>
  <sheetFormatPr baseColWidth="8" defaultRowHeight="15"/>
  <cols>
    <col width="4" customWidth="1" min="1" max="1"/>
    <col width="20" customWidth="1" min="2" max="2"/>
    <col width="14" customWidth="1" min="3" max="3"/>
    <col width="13" customWidth="1" min="4" max="4"/>
    <col width="8" customWidth="1" min="5" max="5"/>
    <col width="10" customWidth="1" min="6" max="6"/>
    <col width="12" customWidth="1" min="7" max="7"/>
    <col width="11" customWidth="1" min="8" max="8"/>
    <col width="11" customWidth="1" min="9" max="9"/>
    <col width="11" customWidth="1" min="10" max="10"/>
    <col width="10" customWidth="1" min="11" max="11"/>
    <col width="12" customWidth="1" min="12" max="12"/>
    <col width="11" customWidth="1" min="13" max="13"/>
    <col width="13" customWidth="1" min="14" max="14"/>
    <col width="13" customWidth="1" min="15" max="15"/>
    <col width="10" customWidth="1" min="16" max="16"/>
    <col width="12" customWidth="1" min="17" max="17"/>
    <col width="11" customWidth="1" min="18" max="18"/>
    <col width="10" customWidth="1" min="19" max="19"/>
    <col width="12" customWidth="1" min="20" max="20"/>
    <col width="9" customWidth="1" min="21" max="21"/>
    <col width="11" customWidth="1" min="22" max="22"/>
    <col width="12" customWidth="1" min="23" max="23"/>
    <col width="12" customWidth="1" min="24" max="24"/>
    <col width="13" customWidth="1" min="25" max="25"/>
    <col width="10" customWidth="1" min="26" max="26"/>
    <col width="11" customWidth="1" min="27" max="27"/>
    <col width="12" customWidth="1" min="28" max="28"/>
    <col width="10" customWidth="1" min="29" max="29"/>
    <col width="11" customWidth="1" min="30" max="30"/>
    <col width="10" customWidth="1" min="31" max="31"/>
    <col width="11" customWidth="1" min="32" max="32"/>
    <col width="11" customWidth="1" min="33" max="33"/>
    <col width="9" customWidth="1" min="34" max="34"/>
  </cols>
  <sheetData>
    <row r="1">
      <c r="A1" s="1" t="inlineStr">
        <is>
          <t>Simulación de campañas (edita SOLO celdas azules)</t>
        </is>
      </c>
    </row>
    <row r="3">
      <c r="A3" s="25" t="n"/>
      <c r="B3" s="26" t="inlineStr">
        <is>
          <t>Resumen</t>
        </is>
      </c>
      <c r="C3" s="23" t="n"/>
      <c r="D3" s="23" t="n"/>
      <c r="E3" s="23" t="n"/>
      <c r="F3" s="24" t="n"/>
    </row>
    <row r="4">
      <c r="A4" s="25" t="n"/>
      <c r="B4" s="28" t="inlineStr">
        <is>
          <t>Costo total (con IVA)</t>
        </is>
      </c>
      <c r="C4" s="29">
        <f>SUM(AB13:AB32)</f>
        <v/>
      </c>
      <c r="D4" s="25" t="n"/>
      <c r="E4" s="30" t="inlineStr">
        <is>
          <t>Mes</t>
        </is>
      </c>
      <c r="F4" s="31">
        <f>'Configuraciones'!$B$6</f>
        <v/>
      </c>
    </row>
    <row r="5">
      <c r="A5" s="25" t="n"/>
      <c r="B5" s="32" t="inlineStr">
        <is>
          <t>Mensajes entregados (outbound)</t>
        </is>
      </c>
      <c r="C5" s="33">
        <f>SUM(G13:G32)</f>
        <v/>
      </c>
      <c r="D5" s="25" t="n"/>
      <c r="E5" s="25" t="n"/>
    </row>
    <row r="6">
      <c r="A6" s="25" t="n"/>
      <c r="B6" s="32" t="inlineStr">
        <is>
          <t>Respondieron</t>
        </is>
      </c>
      <c r="C6" s="33">
        <f>SUM(K13:K32)</f>
        <v/>
      </c>
      <c r="D6" s="25" t="n"/>
      <c r="E6" s="25" t="n"/>
    </row>
    <row r="7">
      <c r="A7" s="25" t="n"/>
      <c r="B7" s="32" t="inlineStr">
        <is>
          <t>Conversiones</t>
        </is>
      </c>
      <c r="C7" s="33">
        <f>SUM(AD13:AD32)</f>
        <v/>
      </c>
      <c r="D7" s="25" t="n"/>
      <c r="E7" s="25" t="n"/>
    </row>
    <row r="8">
      <c r="A8" s="25" t="n"/>
      <c r="B8" s="28" t="inlineStr">
        <is>
          <t>Ingresos</t>
        </is>
      </c>
      <c r="C8" s="29">
        <f>SUM(AF13:AF32)</f>
        <v/>
      </c>
      <c r="D8" s="25" t="n"/>
      <c r="E8" s="25" t="n"/>
    </row>
    <row r="9">
      <c r="A9" s="25" t="n"/>
      <c r="B9" s="34" t="inlineStr">
        <is>
          <t>ROI</t>
        </is>
      </c>
      <c r="C9" s="35">
        <f>IF(C4=0,"",(C8-C4)/C4)</f>
        <v/>
      </c>
      <c r="D9" s="25" t="n"/>
      <c r="E9" s="25" t="n"/>
    </row>
    <row r="12">
      <c r="A12" s="16" t="inlineStr">
        <is>
          <t>ID</t>
        </is>
      </c>
      <c r="B12" s="16" t="inlineStr">
        <is>
          <t>Campaña</t>
        </is>
      </c>
      <c r="C12" s="16" t="inlineStr">
        <is>
          <t>Mes</t>
        </is>
      </c>
      <c r="D12" s="16" t="inlineStr">
        <is>
          <t>Out Category</t>
        </is>
      </c>
      <c r="E12" s="16" t="inlineStr">
        <is>
          <t>Out Sent</t>
        </is>
      </c>
      <c r="F12" s="16" t="inlineStr">
        <is>
          <t>Fail Rate</t>
        </is>
      </c>
      <c r="G12" s="16" t="inlineStr">
        <is>
          <t>Out Delivered</t>
        </is>
      </c>
      <c r="H12" s="16" t="inlineStr">
        <is>
          <t>Meta Out $</t>
        </is>
      </c>
      <c r="I12" s="16" t="inlineStr">
        <is>
          <t>Twilio Out $</t>
        </is>
      </c>
      <c r="J12" s="16" t="inlineStr">
        <is>
          <t>Respond Rate</t>
        </is>
      </c>
      <c r="K12" s="16" t="inlineStr">
        <is>
          <t>Responders</t>
        </is>
      </c>
      <c r="L12" s="16" t="inlineStr">
        <is>
          <t>In msgs / resp</t>
        </is>
      </c>
      <c r="M12" s="16" t="inlineStr">
        <is>
          <t>Inbound msgs</t>
        </is>
      </c>
      <c r="N12" s="16" t="inlineStr">
        <is>
          <t>Reply tmpl / resp</t>
        </is>
      </c>
      <c r="O12" s="16" t="inlineStr">
        <is>
          <t>Reply Category</t>
        </is>
      </c>
      <c r="P12" s="16" t="inlineStr">
        <is>
          <t>Reply Sent</t>
        </is>
      </c>
      <c r="Q12" s="16" t="inlineStr">
        <is>
          <t>Reply Delivered</t>
        </is>
      </c>
      <c r="R12" s="16" t="inlineStr">
        <is>
          <t>Meta Reply $</t>
        </is>
      </c>
      <c r="S12" s="16" t="inlineStr">
        <is>
          <t>Twilio In $</t>
        </is>
      </c>
      <c r="T12" s="16" t="inlineStr">
        <is>
          <t>Twilio Reply $</t>
        </is>
      </c>
      <c r="U12" s="16" t="inlineStr">
        <is>
          <t>Engage %</t>
        </is>
      </c>
      <c r="V12" s="16" t="inlineStr">
        <is>
          <t>Engage msgs</t>
        </is>
      </c>
      <c r="W12" s="16" t="inlineStr">
        <is>
          <t>Engage $ (alloc)</t>
        </is>
      </c>
      <c r="X12" s="16" t="inlineStr">
        <is>
          <t>Meta subtotal $</t>
        </is>
      </c>
      <c r="Y12" s="16" t="inlineStr">
        <is>
          <t>Twilio subtotal $</t>
        </is>
      </c>
      <c r="Z12" s="16" t="inlineStr">
        <is>
          <t>IVA Meta $</t>
        </is>
      </c>
      <c r="AA12" s="16" t="inlineStr">
        <is>
          <t>IVA Twilio $</t>
        </is>
      </c>
      <c r="AB12" s="16" t="inlineStr">
        <is>
          <t>Total con IVA</t>
        </is>
      </c>
      <c r="AC12" s="16" t="inlineStr">
        <is>
          <t>Conv Rate</t>
        </is>
      </c>
      <c r="AD12" s="16" t="inlineStr">
        <is>
          <t>Conversions</t>
        </is>
      </c>
      <c r="AE12" s="16" t="inlineStr">
        <is>
          <t>Rev/Conv</t>
        </is>
      </c>
      <c r="AF12" s="16" t="inlineStr">
        <is>
          <t>Revenue</t>
        </is>
      </c>
      <c r="AG12" s="16" t="inlineStr">
        <is>
          <t>Profit</t>
        </is>
      </c>
      <c r="AH12" s="16" t="inlineStr">
        <is>
          <t>ROI</t>
        </is>
      </c>
    </row>
    <row r="13">
      <c r="A13" s="17" t="n">
        <v>1</v>
      </c>
      <c r="B13" s="4" t="inlineStr">
        <is>
          <t>Campaña ejemplo (500)</t>
        </is>
      </c>
      <c r="C13" s="4">
        <f>'Configuraciones'!$B$6</f>
        <v/>
      </c>
      <c r="D13" s="4" t="inlineStr">
        <is>
          <t>Marketing</t>
        </is>
      </c>
      <c r="E13" s="18" t="n">
        <v>500</v>
      </c>
      <c r="F13" s="19" t="n">
        <v>0</v>
      </c>
      <c r="G13" s="14">
        <f>ROUND(E13*(1-F13),0)</f>
        <v/>
      </c>
      <c r="H13" s="12">
        <f>G13*IF(D13="Marketing",'Configuraciones'!$B$19,IF(D13="Utility",'Configuraciones'!$B$20,IF(D13="Authentication",'Configuraciones'!$B$21,'Configuraciones'!$B$22)))</f>
        <v/>
      </c>
      <c r="I13" s="12">
        <f>E13*'Configuraciones'!$B$13 + (E13-G13)*'Configuraciones'!$B$15</f>
        <v/>
      </c>
      <c r="J13" s="19" t="n">
        <v>0.2</v>
      </c>
      <c r="K13" s="14">
        <f>ROUND(G13*J13,0)</f>
        <v/>
      </c>
      <c r="L13" s="20" t="n">
        <v>1</v>
      </c>
      <c r="M13" s="14">
        <f>ROUND(K13*L13,0)</f>
        <v/>
      </c>
      <c r="N13" s="20" t="n">
        <v>1</v>
      </c>
      <c r="O13" s="4" t="inlineStr">
        <is>
          <t>Utility</t>
        </is>
      </c>
      <c r="P13" s="14">
        <f>ROUND(K13*N13,0)</f>
        <v/>
      </c>
      <c r="Q13" s="14">
        <f>ROUND(P13*(1-F13),0)</f>
        <v/>
      </c>
      <c r="R13" s="12">
        <f>Q13*IF(O13="Marketing",'Configuraciones'!$B$19,IF(O13="Utility",'Configuraciones'!$B$20,IF(O13="Authentication",'Configuraciones'!$B$21,'Configuraciones'!$B$22)))</f>
        <v/>
      </c>
      <c r="S13" s="12">
        <f>M13*'Configuraciones'!$B$14</f>
        <v/>
      </c>
      <c r="T13" s="12">
        <f>P13*'Configuraciones'!$B$13 + (P13-Q13)*'Configuraciones'!$B$15</f>
        <v/>
      </c>
      <c r="U13" s="19" t="n">
        <v>0</v>
      </c>
      <c r="V13" s="14">
        <f>ROUND((E13+M13+P13)*U13,0)</f>
        <v/>
      </c>
      <c r="W13" s="21">
        <f>IF($C$39=0,0,IF($C$36=0,0,$C$39*V13/$C$36))</f>
        <v/>
      </c>
      <c r="X13" s="12">
        <f>H13+R13</f>
        <v/>
      </c>
      <c r="Y13" s="12">
        <f>I13+S13+T13</f>
        <v/>
      </c>
      <c r="Z13" s="12">
        <f>X13*'Configuraciones'!$B$10</f>
        <v/>
      </c>
      <c r="AA13" s="12">
        <f>Y13*'Configuraciones'!$B$9</f>
        <v/>
      </c>
      <c r="AB13" s="12">
        <f>X13+Y13+Z13+AA13+W13</f>
        <v/>
      </c>
      <c r="AC13" s="19" t="n">
        <v>0.05</v>
      </c>
      <c r="AD13" s="14">
        <f>ROUND(K13*AC13,0)</f>
        <v/>
      </c>
      <c r="AE13" s="22" t="n">
        <v>50</v>
      </c>
      <c r="AF13" s="12">
        <f>AD13*AE13</f>
        <v/>
      </c>
      <c r="AG13" s="12">
        <f>AF13-AB13</f>
        <v/>
      </c>
      <c r="AH13" s="15">
        <f>IF(AB13=0,"",AG13/AB13)</f>
        <v/>
      </c>
    </row>
    <row r="14">
      <c r="A14" s="17" t="n">
        <v>2</v>
      </c>
      <c r="B14" s="4" t="inlineStr">
        <is>
          <t>Campaña ejemplo (3000)</t>
        </is>
      </c>
      <c r="C14" s="4">
        <f>'Configuraciones'!$B$6</f>
        <v/>
      </c>
      <c r="D14" s="4" t="inlineStr">
        <is>
          <t>Marketing</t>
        </is>
      </c>
      <c r="E14" s="18" t="n">
        <v>3000</v>
      </c>
      <c r="F14" s="19" t="n">
        <v>0</v>
      </c>
      <c r="G14" s="14">
        <f>ROUND(E14*(1-F14),0)</f>
        <v/>
      </c>
      <c r="H14" s="12">
        <f>G14*IF(D14="Marketing",'Configuraciones'!$B$19,IF(D14="Utility",'Configuraciones'!$B$20,IF(D14="Authentication",'Configuraciones'!$B$21,'Configuraciones'!$B$22)))</f>
        <v/>
      </c>
      <c r="I14" s="12">
        <f>E14*'Configuraciones'!$B$13 + (E14-G14)*'Configuraciones'!$B$15</f>
        <v/>
      </c>
      <c r="J14" s="19" t="n">
        <v>0.15</v>
      </c>
      <c r="K14" s="14">
        <f>ROUND(G14*J14,0)</f>
        <v/>
      </c>
      <c r="L14" s="20" t="n">
        <v>1</v>
      </c>
      <c r="M14" s="14">
        <f>ROUND(K14*L14,0)</f>
        <v/>
      </c>
      <c r="N14" s="20" t="n">
        <v>1</v>
      </c>
      <c r="O14" s="4" t="inlineStr">
        <is>
          <t>Utility</t>
        </is>
      </c>
      <c r="P14" s="14">
        <f>ROUND(K14*N14,0)</f>
        <v/>
      </c>
      <c r="Q14" s="14">
        <f>ROUND(P14*(1-F14),0)</f>
        <v/>
      </c>
      <c r="R14" s="12">
        <f>Q14*IF(O14="Marketing",'Configuraciones'!$B$19,IF(O14="Utility",'Configuraciones'!$B$20,IF(O14="Authentication",'Configuraciones'!$B$21,'Configuraciones'!$B$22)))</f>
        <v/>
      </c>
      <c r="S14" s="12">
        <f>M14*'Configuraciones'!$B$14</f>
        <v/>
      </c>
      <c r="T14" s="12">
        <f>P14*'Configuraciones'!$B$13 + (P14-Q14)*'Configuraciones'!$B$15</f>
        <v/>
      </c>
      <c r="U14" s="19" t="n">
        <v>0</v>
      </c>
      <c r="V14" s="14">
        <f>ROUND((E14+M14+P14)*U14,0)</f>
        <v/>
      </c>
      <c r="W14" s="21">
        <f>IF($C$39=0,0,IF($C$36=0,0,$C$39*V14/$C$36))</f>
        <v/>
      </c>
      <c r="X14" s="12">
        <f>H14+R14</f>
        <v/>
      </c>
      <c r="Y14" s="12">
        <f>I14+S14+T14</f>
        <v/>
      </c>
      <c r="Z14" s="12">
        <f>X14*'Configuraciones'!$B$10</f>
        <v/>
      </c>
      <c r="AA14" s="12">
        <f>Y14*'Configuraciones'!$B$9</f>
        <v/>
      </c>
      <c r="AB14" s="12">
        <f>X14+Y14+Z14+AA14+W14</f>
        <v/>
      </c>
      <c r="AC14" s="19" t="n">
        <v>0.04</v>
      </c>
      <c r="AD14" s="14">
        <f>ROUND(K14*AC14,0)</f>
        <v/>
      </c>
      <c r="AE14" s="22" t="n">
        <v>50</v>
      </c>
      <c r="AF14" s="12">
        <f>AD14*AE14</f>
        <v/>
      </c>
      <c r="AG14" s="12">
        <f>AF14-AB14</f>
        <v/>
      </c>
      <c r="AH14" s="15">
        <f>IF(AB14=0,"",AG14/AB14)</f>
        <v/>
      </c>
    </row>
    <row r="15">
      <c r="A15" s="17" t="n">
        <v>3</v>
      </c>
      <c r="B15" s="4" t="inlineStr">
        <is>
          <t>Campaña 3</t>
        </is>
      </c>
      <c r="C15" s="4">
        <f>'Configuraciones'!$B$6</f>
        <v/>
      </c>
      <c r="D15" s="4" t="inlineStr">
        <is>
          <t>Marketing</t>
        </is>
      </c>
      <c r="E15" s="18" t="n">
        <v>0</v>
      </c>
      <c r="F15" s="19" t="n">
        <v>0</v>
      </c>
      <c r="G15" s="14">
        <f>ROUND(E15*(1-F15),0)</f>
        <v/>
      </c>
      <c r="H15" s="12">
        <f>G15*IF(D15="Marketing",'Configuraciones'!$B$19,IF(D15="Utility",'Configuraciones'!$B$20,IF(D15="Authentication",'Configuraciones'!$B$21,'Configuraciones'!$B$22)))</f>
        <v/>
      </c>
      <c r="I15" s="12">
        <f>E15*'Configuraciones'!$B$13 + (E15-G15)*'Configuraciones'!$B$15</f>
        <v/>
      </c>
      <c r="J15" s="19" t="n">
        <v>0.2</v>
      </c>
      <c r="K15" s="14">
        <f>ROUND(G15*J15,0)</f>
        <v/>
      </c>
      <c r="L15" s="20" t="n">
        <v>1</v>
      </c>
      <c r="M15" s="14">
        <f>ROUND(K15*L15,0)</f>
        <v/>
      </c>
      <c r="N15" s="20" t="n">
        <v>1</v>
      </c>
      <c r="O15" s="4" t="inlineStr">
        <is>
          <t>Utility</t>
        </is>
      </c>
      <c r="P15" s="14">
        <f>ROUND(K15*N15,0)</f>
        <v/>
      </c>
      <c r="Q15" s="14">
        <f>ROUND(P15*(1-F15),0)</f>
        <v/>
      </c>
      <c r="R15" s="12">
        <f>Q15*IF(O15="Marketing",'Configuraciones'!$B$19,IF(O15="Utility",'Configuraciones'!$B$20,IF(O15="Authentication",'Configuraciones'!$B$21,'Configuraciones'!$B$22)))</f>
        <v/>
      </c>
      <c r="S15" s="12">
        <f>M15*'Configuraciones'!$B$14</f>
        <v/>
      </c>
      <c r="T15" s="12">
        <f>P15*'Configuraciones'!$B$13 + (P15-Q15)*'Configuraciones'!$B$15</f>
        <v/>
      </c>
      <c r="U15" s="19" t="n">
        <v>0</v>
      </c>
      <c r="V15" s="14">
        <f>ROUND((E15+M15+P15)*U15,0)</f>
        <v/>
      </c>
      <c r="W15" s="21">
        <f>IF($C$39=0,0,IF($C$36=0,0,$C$39*V15/$C$36))</f>
        <v/>
      </c>
      <c r="X15" s="12">
        <f>H15+R15</f>
        <v/>
      </c>
      <c r="Y15" s="12">
        <f>I15+S15+T15</f>
        <v/>
      </c>
      <c r="Z15" s="12">
        <f>X15*'Configuraciones'!$B$10</f>
        <v/>
      </c>
      <c r="AA15" s="12">
        <f>Y15*'Configuraciones'!$B$9</f>
        <v/>
      </c>
      <c r="AB15" s="12">
        <f>X15+Y15+Z15+AA15+W15</f>
        <v/>
      </c>
      <c r="AC15" s="19" t="n">
        <v>0.05</v>
      </c>
      <c r="AD15" s="14">
        <f>ROUND(K15*AC15,0)</f>
        <v/>
      </c>
      <c r="AE15" s="22" t="n">
        <v>50</v>
      </c>
      <c r="AF15" s="12">
        <f>AD15*AE15</f>
        <v/>
      </c>
      <c r="AG15" s="12">
        <f>AF15-AB15</f>
        <v/>
      </c>
      <c r="AH15" s="15">
        <f>IF(AB15=0,"",AG15/AB15)</f>
        <v/>
      </c>
    </row>
    <row r="16">
      <c r="A16" s="17" t="n">
        <v>4</v>
      </c>
      <c r="B16" s="4" t="inlineStr">
        <is>
          <t>Campaña 4</t>
        </is>
      </c>
      <c r="C16" s="4">
        <f>'Configuraciones'!$B$6</f>
        <v/>
      </c>
      <c r="D16" s="4" t="inlineStr">
        <is>
          <t>Marketing</t>
        </is>
      </c>
      <c r="E16" s="18" t="n">
        <v>0</v>
      </c>
      <c r="F16" s="19" t="n">
        <v>0</v>
      </c>
      <c r="G16" s="14">
        <f>ROUND(E16*(1-F16),0)</f>
        <v/>
      </c>
      <c r="H16" s="12">
        <f>G16*IF(D16="Marketing",'Configuraciones'!$B$19,IF(D16="Utility",'Configuraciones'!$B$20,IF(D16="Authentication",'Configuraciones'!$B$21,'Configuraciones'!$B$22)))</f>
        <v/>
      </c>
      <c r="I16" s="12">
        <f>E16*'Configuraciones'!$B$13 + (E16-G16)*'Configuraciones'!$B$15</f>
        <v/>
      </c>
      <c r="J16" s="19" t="n">
        <v>0.2</v>
      </c>
      <c r="K16" s="14">
        <f>ROUND(G16*J16,0)</f>
        <v/>
      </c>
      <c r="L16" s="20" t="n">
        <v>1</v>
      </c>
      <c r="M16" s="14">
        <f>ROUND(K16*L16,0)</f>
        <v/>
      </c>
      <c r="N16" s="20" t="n">
        <v>1</v>
      </c>
      <c r="O16" s="4" t="inlineStr">
        <is>
          <t>Utility</t>
        </is>
      </c>
      <c r="P16" s="14">
        <f>ROUND(K16*N16,0)</f>
        <v/>
      </c>
      <c r="Q16" s="14">
        <f>ROUND(P16*(1-F16),0)</f>
        <v/>
      </c>
      <c r="R16" s="12">
        <f>Q16*IF(O16="Marketing",'Configuraciones'!$B$19,IF(O16="Utility",'Configuraciones'!$B$20,IF(O16="Authentication",'Configuraciones'!$B$21,'Configuraciones'!$B$22)))</f>
        <v/>
      </c>
      <c r="S16" s="12">
        <f>M16*'Configuraciones'!$B$14</f>
        <v/>
      </c>
      <c r="T16" s="12">
        <f>P16*'Configuraciones'!$B$13 + (P16-Q16)*'Configuraciones'!$B$15</f>
        <v/>
      </c>
      <c r="U16" s="19" t="n">
        <v>0</v>
      </c>
      <c r="V16" s="14">
        <f>ROUND((E16+M16+P16)*U16,0)</f>
        <v/>
      </c>
      <c r="W16" s="21">
        <f>IF($C$39=0,0,IF($C$36=0,0,$C$39*V16/$C$36))</f>
        <v/>
      </c>
      <c r="X16" s="12">
        <f>H16+R16</f>
        <v/>
      </c>
      <c r="Y16" s="12">
        <f>I16+S16+T16</f>
        <v/>
      </c>
      <c r="Z16" s="12">
        <f>X16*'Configuraciones'!$B$10</f>
        <v/>
      </c>
      <c r="AA16" s="12">
        <f>Y16*'Configuraciones'!$B$9</f>
        <v/>
      </c>
      <c r="AB16" s="12">
        <f>X16+Y16+Z16+AA16+W16</f>
        <v/>
      </c>
      <c r="AC16" s="19" t="n">
        <v>0.05</v>
      </c>
      <c r="AD16" s="14">
        <f>ROUND(K16*AC16,0)</f>
        <v/>
      </c>
      <c r="AE16" s="22" t="n">
        <v>50</v>
      </c>
      <c r="AF16" s="12">
        <f>AD16*AE16</f>
        <v/>
      </c>
      <c r="AG16" s="12">
        <f>AF16-AB16</f>
        <v/>
      </c>
      <c r="AH16" s="15">
        <f>IF(AB16=0,"",AG16/AB16)</f>
        <v/>
      </c>
    </row>
    <row r="17">
      <c r="A17" s="17" t="n">
        <v>5</v>
      </c>
      <c r="B17" s="4" t="inlineStr">
        <is>
          <t>Campaña 5</t>
        </is>
      </c>
      <c r="C17" s="4">
        <f>'Configuraciones'!$B$6</f>
        <v/>
      </c>
      <c r="D17" s="4" t="inlineStr">
        <is>
          <t>Marketing</t>
        </is>
      </c>
      <c r="E17" s="18" t="n">
        <v>0</v>
      </c>
      <c r="F17" s="19" t="n">
        <v>0</v>
      </c>
      <c r="G17" s="14">
        <f>ROUND(E17*(1-F17),0)</f>
        <v/>
      </c>
      <c r="H17" s="12">
        <f>G17*IF(D17="Marketing",'Configuraciones'!$B$19,IF(D17="Utility",'Configuraciones'!$B$20,IF(D17="Authentication",'Configuraciones'!$B$21,'Configuraciones'!$B$22)))</f>
        <v/>
      </c>
      <c r="I17" s="12">
        <f>E17*'Configuraciones'!$B$13 + (E17-G17)*'Configuraciones'!$B$15</f>
        <v/>
      </c>
      <c r="J17" s="19" t="n">
        <v>0.2</v>
      </c>
      <c r="K17" s="14">
        <f>ROUND(G17*J17,0)</f>
        <v/>
      </c>
      <c r="L17" s="20" t="n">
        <v>1</v>
      </c>
      <c r="M17" s="14">
        <f>ROUND(K17*L17,0)</f>
        <v/>
      </c>
      <c r="N17" s="20" t="n">
        <v>1</v>
      </c>
      <c r="O17" s="4" t="inlineStr">
        <is>
          <t>Utility</t>
        </is>
      </c>
      <c r="P17" s="14">
        <f>ROUND(K17*N17,0)</f>
        <v/>
      </c>
      <c r="Q17" s="14">
        <f>ROUND(P17*(1-F17),0)</f>
        <v/>
      </c>
      <c r="R17" s="12">
        <f>Q17*IF(O17="Marketing",'Configuraciones'!$B$19,IF(O17="Utility",'Configuraciones'!$B$20,IF(O17="Authentication",'Configuraciones'!$B$21,'Configuraciones'!$B$22)))</f>
        <v/>
      </c>
      <c r="S17" s="12">
        <f>M17*'Configuraciones'!$B$14</f>
        <v/>
      </c>
      <c r="T17" s="12">
        <f>P17*'Configuraciones'!$B$13 + (P17-Q17)*'Configuraciones'!$B$15</f>
        <v/>
      </c>
      <c r="U17" s="19" t="n">
        <v>0</v>
      </c>
      <c r="V17" s="14">
        <f>ROUND((E17+M17+P17)*U17,0)</f>
        <v/>
      </c>
      <c r="W17" s="21">
        <f>IF($C$39=0,0,IF($C$36=0,0,$C$39*V17/$C$36))</f>
        <v/>
      </c>
      <c r="X17" s="12">
        <f>H17+R17</f>
        <v/>
      </c>
      <c r="Y17" s="12">
        <f>I17+S17+T17</f>
        <v/>
      </c>
      <c r="Z17" s="12">
        <f>X17*'Configuraciones'!$B$10</f>
        <v/>
      </c>
      <c r="AA17" s="12">
        <f>Y17*'Configuraciones'!$B$9</f>
        <v/>
      </c>
      <c r="AB17" s="12">
        <f>X17+Y17+Z17+AA17+W17</f>
        <v/>
      </c>
      <c r="AC17" s="19" t="n">
        <v>0.05</v>
      </c>
      <c r="AD17" s="14">
        <f>ROUND(K17*AC17,0)</f>
        <v/>
      </c>
      <c r="AE17" s="22" t="n">
        <v>50</v>
      </c>
      <c r="AF17" s="12">
        <f>AD17*AE17</f>
        <v/>
      </c>
      <c r="AG17" s="12">
        <f>AF17-AB17</f>
        <v/>
      </c>
      <c r="AH17" s="15">
        <f>IF(AB17=0,"",AG17/AB17)</f>
        <v/>
      </c>
    </row>
    <row r="18">
      <c r="A18" s="17" t="n">
        <v>6</v>
      </c>
      <c r="B18" s="4" t="inlineStr">
        <is>
          <t>Campaña 6</t>
        </is>
      </c>
      <c r="C18" s="4">
        <f>'Configuraciones'!$B$6</f>
        <v/>
      </c>
      <c r="D18" s="4" t="inlineStr">
        <is>
          <t>Marketing</t>
        </is>
      </c>
      <c r="E18" s="18" t="n">
        <v>0</v>
      </c>
      <c r="F18" s="19" t="n">
        <v>0</v>
      </c>
      <c r="G18" s="14">
        <f>ROUND(E18*(1-F18),0)</f>
        <v/>
      </c>
      <c r="H18" s="12">
        <f>G18*IF(D18="Marketing",'Configuraciones'!$B$19,IF(D18="Utility",'Configuraciones'!$B$20,IF(D18="Authentication",'Configuraciones'!$B$21,'Configuraciones'!$B$22)))</f>
        <v/>
      </c>
      <c r="I18" s="12">
        <f>E18*'Configuraciones'!$B$13 + (E18-G18)*'Configuraciones'!$B$15</f>
        <v/>
      </c>
      <c r="J18" s="19" t="n">
        <v>0.2</v>
      </c>
      <c r="K18" s="14">
        <f>ROUND(G18*J18,0)</f>
        <v/>
      </c>
      <c r="L18" s="20" t="n">
        <v>1</v>
      </c>
      <c r="M18" s="14">
        <f>ROUND(K18*L18,0)</f>
        <v/>
      </c>
      <c r="N18" s="20" t="n">
        <v>1</v>
      </c>
      <c r="O18" s="4" t="inlineStr">
        <is>
          <t>Utility</t>
        </is>
      </c>
      <c r="P18" s="14">
        <f>ROUND(K18*N18,0)</f>
        <v/>
      </c>
      <c r="Q18" s="14">
        <f>ROUND(P18*(1-F18),0)</f>
        <v/>
      </c>
      <c r="R18" s="12">
        <f>Q18*IF(O18="Marketing",'Configuraciones'!$B$19,IF(O18="Utility",'Configuraciones'!$B$20,IF(O18="Authentication",'Configuraciones'!$B$21,'Configuraciones'!$B$22)))</f>
        <v/>
      </c>
      <c r="S18" s="12">
        <f>M18*'Configuraciones'!$B$14</f>
        <v/>
      </c>
      <c r="T18" s="12">
        <f>P18*'Configuraciones'!$B$13 + (P18-Q18)*'Configuraciones'!$B$15</f>
        <v/>
      </c>
      <c r="U18" s="19" t="n">
        <v>0</v>
      </c>
      <c r="V18" s="14">
        <f>ROUND((E18+M18+P18)*U18,0)</f>
        <v/>
      </c>
      <c r="W18" s="21">
        <f>IF($C$39=0,0,IF($C$36=0,0,$C$39*V18/$C$36))</f>
        <v/>
      </c>
      <c r="X18" s="12">
        <f>H18+R18</f>
        <v/>
      </c>
      <c r="Y18" s="12">
        <f>I18+S18+T18</f>
        <v/>
      </c>
      <c r="Z18" s="12">
        <f>X18*'Configuraciones'!$B$10</f>
        <v/>
      </c>
      <c r="AA18" s="12">
        <f>Y18*'Configuraciones'!$B$9</f>
        <v/>
      </c>
      <c r="AB18" s="12">
        <f>X18+Y18+Z18+AA18+W18</f>
        <v/>
      </c>
      <c r="AC18" s="19" t="n">
        <v>0.05</v>
      </c>
      <c r="AD18" s="14">
        <f>ROUND(K18*AC18,0)</f>
        <v/>
      </c>
      <c r="AE18" s="22" t="n">
        <v>50</v>
      </c>
      <c r="AF18" s="12">
        <f>AD18*AE18</f>
        <v/>
      </c>
      <c r="AG18" s="12">
        <f>AF18-AB18</f>
        <v/>
      </c>
      <c r="AH18" s="15">
        <f>IF(AB18=0,"",AG18/AB18)</f>
        <v/>
      </c>
    </row>
    <row r="19">
      <c r="A19" s="17" t="n">
        <v>7</v>
      </c>
      <c r="B19" s="4" t="inlineStr">
        <is>
          <t>Campaña 7</t>
        </is>
      </c>
      <c r="C19" s="4">
        <f>'Configuraciones'!$B$6</f>
        <v/>
      </c>
      <c r="D19" s="4" t="inlineStr">
        <is>
          <t>Marketing</t>
        </is>
      </c>
      <c r="E19" s="18" t="n">
        <v>0</v>
      </c>
      <c r="F19" s="19" t="n">
        <v>0</v>
      </c>
      <c r="G19" s="14">
        <f>ROUND(E19*(1-F19),0)</f>
        <v/>
      </c>
      <c r="H19" s="12">
        <f>G19*IF(D19="Marketing",'Configuraciones'!$B$19,IF(D19="Utility",'Configuraciones'!$B$20,IF(D19="Authentication",'Configuraciones'!$B$21,'Configuraciones'!$B$22)))</f>
        <v/>
      </c>
      <c r="I19" s="12">
        <f>E19*'Configuraciones'!$B$13 + (E19-G19)*'Configuraciones'!$B$15</f>
        <v/>
      </c>
      <c r="J19" s="19" t="n">
        <v>0.2</v>
      </c>
      <c r="K19" s="14">
        <f>ROUND(G19*J19,0)</f>
        <v/>
      </c>
      <c r="L19" s="20" t="n">
        <v>1</v>
      </c>
      <c r="M19" s="14">
        <f>ROUND(K19*L19,0)</f>
        <v/>
      </c>
      <c r="N19" s="20" t="n">
        <v>1</v>
      </c>
      <c r="O19" s="4" t="inlineStr">
        <is>
          <t>Utility</t>
        </is>
      </c>
      <c r="P19" s="14">
        <f>ROUND(K19*N19,0)</f>
        <v/>
      </c>
      <c r="Q19" s="14">
        <f>ROUND(P19*(1-F19),0)</f>
        <v/>
      </c>
      <c r="R19" s="12">
        <f>Q19*IF(O19="Marketing",'Configuraciones'!$B$19,IF(O19="Utility",'Configuraciones'!$B$20,IF(O19="Authentication",'Configuraciones'!$B$21,'Configuraciones'!$B$22)))</f>
        <v/>
      </c>
      <c r="S19" s="12">
        <f>M19*'Configuraciones'!$B$14</f>
        <v/>
      </c>
      <c r="T19" s="12">
        <f>P19*'Configuraciones'!$B$13 + (P19-Q19)*'Configuraciones'!$B$15</f>
        <v/>
      </c>
      <c r="U19" s="19" t="n">
        <v>0</v>
      </c>
      <c r="V19" s="14">
        <f>ROUND((E19+M19+P19)*U19,0)</f>
        <v/>
      </c>
      <c r="W19" s="21">
        <f>IF($C$39=0,0,IF($C$36=0,0,$C$39*V19/$C$36))</f>
        <v/>
      </c>
      <c r="X19" s="12">
        <f>H19+R19</f>
        <v/>
      </c>
      <c r="Y19" s="12">
        <f>I19+S19+T19</f>
        <v/>
      </c>
      <c r="Z19" s="12">
        <f>X19*'Configuraciones'!$B$10</f>
        <v/>
      </c>
      <c r="AA19" s="12">
        <f>Y19*'Configuraciones'!$B$9</f>
        <v/>
      </c>
      <c r="AB19" s="12">
        <f>X19+Y19+Z19+AA19+W19</f>
        <v/>
      </c>
      <c r="AC19" s="19" t="n">
        <v>0.05</v>
      </c>
      <c r="AD19" s="14">
        <f>ROUND(K19*AC19,0)</f>
        <v/>
      </c>
      <c r="AE19" s="22" t="n">
        <v>50</v>
      </c>
      <c r="AF19" s="12">
        <f>AD19*AE19</f>
        <v/>
      </c>
      <c r="AG19" s="12">
        <f>AF19-AB19</f>
        <v/>
      </c>
      <c r="AH19" s="15">
        <f>IF(AB19=0,"",AG19/AB19)</f>
        <v/>
      </c>
    </row>
    <row r="20">
      <c r="A20" s="17" t="n">
        <v>8</v>
      </c>
      <c r="B20" s="4" t="inlineStr">
        <is>
          <t>Campaña 8</t>
        </is>
      </c>
      <c r="C20" s="4">
        <f>'Configuraciones'!$B$6</f>
        <v/>
      </c>
      <c r="D20" s="4" t="inlineStr">
        <is>
          <t>Marketing</t>
        </is>
      </c>
      <c r="E20" s="18" t="n">
        <v>0</v>
      </c>
      <c r="F20" s="19" t="n">
        <v>0</v>
      </c>
      <c r="G20" s="14">
        <f>ROUND(E20*(1-F20),0)</f>
        <v/>
      </c>
      <c r="H20" s="12">
        <f>G20*IF(D20="Marketing",'Configuraciones'!$B$19,IF(D20="Utility",'Configuraciones'!$B$20,IF(D20="Authentication",'Configuraciones'!$B$21,'Configuraciones'!$B$22)))</f>
        <v/>
      </c>
      <c r="I20" s="12">
        <f>E20*'Configuraciones'!$B$13 + (E20-G20)*'Configuraciones'!$B$15</f>
        <v/>
      </c>
      <c r="J20" s="19" t="n">
        <v>0.2</v>
      </c>
      <c r="K20" s="14">
        <f>ROUND(G20*J20,0)</f>
        <v/>
      </c>
      <c r="L20" s="20" t="n">
        <v>1</v>
      </c>
      <c r="M20" s="14">
        <f>ROUND(K20*L20,0)</f>
        <v/>
      </c>
      <c r="N20" s="20" t="n">
        <v>1</v>
      </c>
      <c r="O20" s="4" t="inlineStr">
        <is>
          <t>Utility</t>
        </is>
      </c>
      <c r="P20" s="14">
        <f>ROUND(K20*N20,0)</f>
        <v/>
      </c>
      <c r="Q20" s="14">
        <f>ROUND(P20*(1-F20),0)</f>
        <v/>
      </c>
      <c r="R20" s="12">
        <f>Q20*IF(O20="Marketing",'Configuraciones'!$B$19,IF(O20="Utility",'Configuraciones'!$B$20,IF(O20="Authentication",'Configuraciones'!$B$21,'Configuraciones'!$B$22)))</f>
        <v/>
      </c>
      <c r="S20" s="12">
        <f>M20*'Configuraciones'!$B$14</f>
        <v/>
      </c>
      <c r="T20" s="12">
        <f>P20*'Configuraciones'!$B$13 + (P20-Q20)*'Configuraciones'!$B$15</f>
        <v/>
      </c>
      <c r="U20" s="19" t="n">
        <v>0</v>
      </c>
      <c r="V20" s="14">
        <f>ROUND((E20+M20+P20)*U20,0)</f>
        <v/>
      </c>
      <c r="W20" s="21">
        <f>IF($C$39=0,0,IF($C$36=0,0,$C$39*V20/$C$36))</f>
        <v/>
      </c>
      <c r="X20" s="12">
        <f>H20+R20</f>
        <v/>
      </c>
      <c r="Y20" s="12">
        <f>I20+S20+T20</f>
        <v/>
      </c>
      <c r="Z20" s="12">
        <f>X20*'Configuraciones'!$B$10</f>
        <v/>
      </c>
      <c r="AA20" s="12">
        <f>Y20*'Configuraciones'!$B$9</f>
        <v/>
      </c>
      <c r="AB20" s="12">
        <f>X20+Y20+Z20+AA20+W20</f>
        <v/>
      </c>
      <c r="AC20" s="19" t="n">
        <v>0.05</v>
      </c>
      <c r="AD20" s="14">
        <f>ROUND(K20*AC20,0)</f>
        <v/>
      </c>
      <c r="AE20" s="22" t="n">
        <v>50</v>
      </c>
      <c r="AF20" s="12">
        <f>AD20*AE20</f>
        <v/>
      </c>
      <c r="AG20" s="12">
        <f>AF20-AB20</f>
        <v/>
      </c>
      <c r="AH20" s="15">
        <f>IF(AB20=0,"",AG20/AB20)</f>
        <v/>
      </c>
    </row>
    <row r="21">
      <c r="A21" s="17" t="n">
        <v>9</v>
      </c>
      <c r="B21" s="4" t="inlineStr">
        <is>
          <t>Campaña 9</t>
        </is>
      </c>
      <c r="C21" s="4">
        <f>'Configuraciones'!$B$6</f>
        <v/>
      </c>
      <c r="D21" s="4" t="inlineStr">
        <is>
          <t>Marketing</t>
        </is>
      </c>
      <c r="E21" s="18" t="n">
        <v>0</v>
      </c>
      <c r="F21" s="19" t="n">
        <v>0</v>
      </c>
      <c r="G21" s="14">
        <f>ROUND(E21*(1-F21),0)</f>
        <v/>
      </c>
      <c r="H21" s="12">
        <f>G21*IF(D21="Marketing",'Configuraciones'!$B$19,IF(D21="Utility",'Configuraciones'!$B$20,IF(D21="Authentication",'Configuraciones'!$B$21,'Configuraciones'!$B$22)))</f>
        <v/>
      </c>
      <c r="I21" s="12">
        <f>E21*'Configuraciones'!$B$13 + (E21-G21)*'Configuraciones'!$B$15</f>
        <v/>
      </c>
      <c r="J21" s="19" t="n">
        <v>0.2</v>
      </c>
      <c r="K21" s="14">
        <f>ROUND(G21*J21,0)</f>
        <v/>
      </c>
      <c r="L21" s="20" t="n">
        <v>1</v>
      </c>
      <c r="M21" s="14">
        <f>ROUND(K21*L21,0)</f>
        <v/>
      </c>
      <c r="N21" s="20" t="n">
        <v>1</v>
      </c>
      <c r="O21" s="4" t="inlineStr">
        <is>
          <t>Utility</t>
        </is>
      </c>
      <c r="P21" s="14">
        <f>ROUND(K21*N21,0)</f>
        <v/>
      </c>
      <c r="Q21" s="14">
        <f>ROUND(P21*(1-F21),0)</f>
        <v/>
      </c>
      <c r="R21" s="12">
        <f>Q21*IF(O21="Marketing",'Configuraciones'!$B$19,IF(O21="Utility",'Configuraciones'!$B$20,IF(O21="Authentication",'Configuraciones'!$B$21,'Configuraciones'!$B$22)))</f>
        <v/>
      </c>
      <c r="S21" s="12">
        <f>M21*'Configuraciones'!$B$14</f>
        <v/>
      </c>
      <c r="T21" s="12">
        <f>P21*'Configuraciones'!$B$13 + (P21-Q21)*'Configuraciones'!$B$15</f>
        <v/>
      </c>
      <c r="U21" s="19" t="n">
        <v>0</v>
      </c>
      <c r="V21" s="14">
        <f>ROUND((E21+M21+P21)*U21,0)</f>
        <v/>
      </c>
      <c r="W21" s="21">
        <f>IF($C$39=0,0,IF($C$36=0,0,$C$39*V21/$C$36))</f>
        <v/>
      </c>
      <c r="X21" s="12">
        <f>H21+R21</f>
        <v/>
      </c>
      <c r="Y21" s="12">
        <f>I21+S21+T21</f>
        <v/>
      </c>
      <c r="Z21" s="12">
        <f>X21*'Configuraciones'!$B$10</f>
        <v/>
      </c>
      <c r="AA21" s="12">
        <f>Y21*'Configuraciones'!$B$9</f>
        <v/>
      </c>
      <c r="AB21" s="12">
        <f>X21+Y21+Z21+AA21+W21</f>
        <v/>
      </c>
      <c r="AC21" s="19" t="n">
        <v>0.05</v>
      </c>
      <c r="AD21" s="14">
        <f>ROUND(K21*AC21,0)</f>
        <v/>
      </c>
      <c r="AE21" s="22" t="n">
        <v>50</v>
      </c>
      <c r="AF21" s="12">
        <f>AD21*AE21</f>
        <v/>
      </c>
      <c r="AG21" s="12">
        <f>AF21-AB21</f>
        <v/>
      </c>
      <c r="AH21" s="15">
        <f>IF(AB21=0,"",AG21/AB21)</f>
        <v/>
      </c>
    </row>
    <row r="22">
      <c r="A22" s="17" t="n">
        <v>10</v>
      </c>
      <c r="B22" s="4" t="inlineStr">
        <is>
          <t>Campaña 10</t>
        </is>
      </c>
      <c r="C22" s="4">
        <f>'Configuraciones'!$B$6</f>
        <v/>
      </c>
      <c r="D22" s="4" t="inlineStr">
        <is>
          <t>Marketing</t>
        </is>
      </c>
      <c r="E22" s="18" t="n">
        <v>0</v>
      </c>
      <c r="F22" s="19" t="n">
        <v>0</v>
      </c>
      <c r="G22" s="14">
        <f>ROUND(E22*(1-F22),0)</f>
        <v/>
      </c>
      <c r="H22" s="12">
        <f>G22*IF(D22="Marketing",'Configuraciones'!$B$19,IF(D22="Utility",'Configuraciones'!$B$20,IF(D22="Authentication",'Configuraciones'!$B$21,'Configuraciones'!$B$22)))</f>
        <v/>
      </c>
      <c r="I22" s="12">
        <f>E22*'Configuraciones'!$B$13 + (E22-G22)*'Configuraciones'!$B$15</f>
        <v/>
      </c>
      <c r="J22" s="19" t="n">
        <v>0.2</v>
      </c>
      <c r="K22" s="14">
        <f>ROUND(G22*J22,0)</f>
        <v/>
      </c>
      <c r="L22" s="20" t="n">
        <v>1</v>
      </c>
      <c r="M22" s="14">
        <f>ROUND(K22*L22,0)</f>
        <v/>
      </c>
      <c r="N22" s="20" t="n">
        <v>1</v>
      </c>
      <c r="O22" s="4" t="inlineStr">
        <is>
          <t>Utility</t>
        </is>
      </c>
      <c r="P22" s="14">
        <f>ROUND(K22*N22,0)</f>
        <v/>
      </c>
      <c r="Q22" s="14">
        <f>ROUND(P22*(1-F22),0)</f>
        <v/>
      </c>
      <c r="R22" s="12">
        <f>Q22*IF(O22="Marketing",'Configuraciones'!$B$19,IF(O22="Utility",'Configuraciones'!$B$20,IF(O22="Authentication",'Configuraciones'!$B$21,'Configuraciones'!$B$22)))</f>
        <v/>
      </c>
      <c r="S22" s="12">
        <f>M22*'Configuraciones'!$B$14</f>
        <v/>
      </c>
      <c r="T22" s="12">
        <f>P22*'Configuraciones'!$B$13 + (P22-Q22)*'Configuraciones'!$B$15</f>
        <v/>
      </c>
      <c r="U22" s="19" t="n">
        <v>0</v>
      </c>
      <c r="V22" s="14">
        <f>ROUND((E22+M22+P22)*U22,0)</f>
        <v/>
      </c>
      <c r="W22" s="21">
        <f>IF($C$39=0,0,IF($C$36=0,0,$C$39*V22/$C$36))</f>
        <v/>
      </c>
      <c r="X22" s="12">
        <f>H22+R22</f>
        <v/>
      </c>
      <c r="Y22" s="12">
        <f>I22+S22+T22</f>
        <v/>
      </c>
      <c r="Z22" s="12">
        <f>X22*'Configuraciones'!$B$10</f>
        <v/>
      </c>
      <c r="AA22" s="12">
        <f>Y22*'Configuraciones'!$B$9</f>
        <v/>
      </c>
      <c r="AB22" s="12">
        <f>X22+Y22+Z22+AA22+W22</f>
        <v/>
      </c>
      <c r="AC22" s="19" t="n">
        <v>0.05</v>
      </c>
      <c r="AD22" s="14">
        <f>ROUND(K22*AC22,0)</f>
        <v/>
      </c>
      <c r="AE22" s="22" t="n">
        <v>50</v>
      </c>
      <c r="AF22" s="12">
        <f>AD22*AE22</f>
        <v/>
      </c>
      <c r="AG22" s="12">
        <f>AF22-AB22</f>
        <v/>
      </c>
      <c r="AH22" s="15">
        <f>IF(AB22=0,"",AG22/AB22)</f>
        <v/>
      </c>
    </row>
    <row r="23">
      <c r="A23" s="17" t="n">
        <v>11</v>
      </c>
      <c r="B23" s="4" t="inlineStr">
        <is>
          <t>Campaña 11</t>
        </is>
      </c>
      <c r="C23" s="4">
        <f>'Configuraciones'!$B$6</f>
        <v/>
      </c>
      <c r="D23" s="4" t="inlineStr">
        <is>
          <t>Marketing</t>
        </is>
      </c>
      <c r="E23" s="18" t="n">
        <v>0</v>
      </c>
      <c r="F23" s="19" t="n">
        <v>0</v>
      </c>
      <c r="G23" s="14">
        <f>ROUND(E23*(1-F23),0)</f>
        <v/>
      </c>
      <c r="H23" s="12">
        <f>G23*IF(D23="Marketing",'Configuraciones'!$B$19,IF(D23="Utility",'Configuraciones'!$B$20,IF(D23="Authentication",'Configuraciones'!$B$21,'Configuraciones'!$B$22)))</f>
        <v/>
      </c>
      <c r="I23" s="12">
        <f>E23*'Configuraciones'!$B$13 + (E23-G23)*'Configuraciones'!$B$15</f>
        <v/>
      </c>
      <c r="J23" s="19" t="n">
        <v>0.2</v>
      </c>
      <c r="K23" s="14">
        <f>ROUND(G23*J23,0)</f>
        <v/>
      </c>
      <c r="L23" s="20" t="n">
        <v>1</v>
      </c>
      <c r="M23" s="14">
        <f>ROUND(K23*L23,0)</f>
        <v/>
      </c>
      <c r="N23" s="20" t="n">
        <v>1</v>
      </c>
      <c r="O23" s="4" t="inlineStr">
        <is>
          <t>Utility</t>
        </is>
      </c>
      <c r="P23" s="14">
        <f>ROUND(K23*N23,0)</f>
        <v/>
      </c>
      <c r="Q23" s="14">
        <f>ROUND(P23*(1-F23),0)</f>
        <v/>
      </c>
      <c r="R23" s="12">
        <f>Q23*IF(O23="Marketing",'Configuraciones'!$B$19,IF(O23="Utility",'Configuraciones'!$B$20,IF(O23="Authentication",'Configuraciones'!$B$21,'Configuraciones'!$B$22)))</f>
        <v/>
      </c>
      <c r="S23" s="12">
        <f>M23*'Configuraciones'!$B$14</f>
        <v/>
      </c>
      <c r="T23" s="12">
        <f>P23*'Configuraciones'!$B$13 + (P23-Q23)*'Configuraciones'!$B$15</f>
        <v/>
      </c>
      <c r="U23" s="19" t="n">
        <v>0</v>
      </c>
      <c r="V23" s="14">
        <f>ROUND((E23+M23+P23)*U23,0)</f>
        <v/>
      </c>
      <c r="W23" s="21">
        <f>IF($C$39=0,0,IF($C$36=0,0,$C$39*V23/$C$36))</f>
        <v/>
      </c>
      <c r="X23" s="12">
        <f>H23+R23</f>
        <v/>
      </c>
      <c r="Y23" s="12">
        <f>I23+S23+T23</f>
        <v/>
      </c>
      <c r="Z23" s="12">
        <f>X23*'Configuraciones'!$B$10</f>
        <v/>
      </c>
      <c r="AA23" s="12">
        <f>Y23*'Configuraciones'!$B$9</f>
        <v/>
      </c>
      <c r="AB23" s="12">
        <f>X23+Y23+Z23+AA23+W23</f>
        <v/>
      </c>
      <c r="AC23" s="19" t="n">
        <v>0.05</v>
      </c>
      <c r="AD23" s="14">
        <f>ROUND(K23*AC23,0)</f>
        <v/>
      </c>
      <c r="AE23" s="22" t="n">
        <v>50</v>
      </c>
      <c r="AF23" s="12">
        <f>AD23*AE23</f>
        <v/>
      </c>
      <c r="AG23" s="12">
        <f>AF23-AB23</f>
        <v/>
      </c>
      <c r="AH23" s="15">
        <f>IF(AB23=0,"",AG23/AB23)</f>
        <v/>
      </c>
    </row>
    <row r="24">
      <c r="A24" s="17" t="n">
        <v>12</v>
      </c>
      <c r="B24" s="4" t="inlineStr">
        <is>
          <t>Campaña 12</t>
        </is>
      </c>
      <c r="C24" s="4">
        <f>'Configuraciones'!$B$6</f>
        <v/>
      </c>
      <c r="D24" s="4" t="inlineStr">
        <is>
          <t>Marketing</t>
        </is>
      </c>
      <c r="E24" s="18" t="n">
        <v>0</v>
      </c>
      <c r="F24" s="19" t="n">
        <v>0</v>
      </c>
      <c r="G24" s="14">
        <f>ROUND(E24*(1-F24),0)</f>
        <v/>
      </c>
      <c r="H24" s="12">
        <f>G24*IF(D24="Marketing",'Configuraciones'!$B$19,IF(D24="Utility",'Configuraciones'!$B$20,IF(D24="Authentication",'Configuraciones'!$B$21,'Configuraciones'!$B$22)))</f>
        <v/>
      </c>
      <c r="I24" s="12">
        <f>E24*'Configuraciones'!$B$13 + (E24-G24)*'Configuraciones'!$B$15</f>
        <v/>
      </c>
      <c r="J24" s="19" t="n">
        <v>0.2</v>
      </c>
      <c r="K24" s="14">
        <f>ROUND(G24*J24,0)</f>
        <v/>
      </c>
      <c r="L24" s="20" t="n">
        <v>1</v>
      </c>
      <c r="M24" s="14">
        <f>ROUND(K24*L24,0)</f>
        <v/>
      </c>
      <c r="N24" s="20" t="n">
        <v>1</v>
      </c>
      <c r="O24" s="4" t="inlineStr">
        <is>
          <t>Utility</t>
        </is>
      </c>
      <c r="P24" s="14">
        <f>ROUND(K24*N24,0)</f>
        <v/>
      </c>
      <c r="Q24" s="14">
        <f>ROUND(P24*(1-F24),0)</f>
        <v/>
      </c>
      <c r="R24" s="12">
        <f>Q24*IF(O24="Marketing",'Configuraciones'!$B$19,IF(O24="Utility",'Configuraciones'!$B$20,IF(O24="Authentication",'Configuraciones'!$B$21,'Configuraciones'!$B$22)))</f>
        <v/>
      </c>
      <c r="S24" s="12">
        <f>M24*'Configuraciones'!$B$14</f>
        <v/>
      </c>
      <c r="T24" s="12">
        <f>P24*'Configuraciones'!$B$13 + (P24-Q24)*'Configuraciones'!$B$15</f>
        <v/>
      </c>
      <c r="U24" s="19" t="n">
        <v>0</v>
      </c>
      <c r="V24" s="14">
        <f>ROUND((E24+M24+P24)*U24,0)</f>
        <v/>
      </c>
      <c r="W24" s="21">
        <f>IF($C$39=0,0,IF($C$36=0,0,$C$39*V24/$C$36))</f>
        <v/>
      </c>
      <c r="X24" s="12">
        <f>H24+R24</f>
        <v/>
      </c>
      <c r="Y24" s="12">
        <f>I24+S24+T24</f>
        <v/>
      </c>
      <c r="Z24" s="12">
        <f>X24*'Configuraciones'!$B$10</f>
        <v/>
      </c>
      <c r="AA24" s="12">
        <f>Y24*'Configuraciones'!$B$9</f>
        <v/>
      </c>
      <c r="AB24" s="12">
        <f>X24+Y24+Z24+AA24+W24</f>
        <v/>
      </c>
      <c r="AC24" s="19" t="n">
        <v>0.05</v>
      </c>
      <c r="AD24" s="14">
        <f>ROUND(K24*AC24,0)</f>
        <v/>
      </c>
      <c r="AE24" s="22" t="n">
        <v>50</v>
      </c>
      <c r="AF24" s="12">
        <f>AD24*AE24</f>
        <v/>
      </c>
      <c r="AG24" s="12">
        <f>AF24-AB24</f>
        <v/>
      </c>
      <c r="AH24" s="15">
        <f>IF(AB24=0,"",AG24/AB24)</f>
        <v/>
      </c>
    </row>
    <row r="25">
      <c r="A25" s="17" t="n">
        <v>13</v>
      </c>
      <c r="B25" s="4" t="inlineStr">
        <is>
          <t>Campaña 13</t>
        </is>
      </c>
      <c r="C25" s="4">
        <f>'Configuraciones'!$B$6</f>
        <v/>
      </c>
      <c r="D25" s="4" t="inlineStr">
        <is>
          <t>Marketing</t>
        </is>
      </c>
      <c r="E25" s="18" t="n">
        <v>0</v>
      </c>
      <c r="F25" s="19" t="n">
        <v>0</v>
      </c>
      <c r="G25" s="14">
        <f>ROUND(E25*(1-F25),0)</f>
        <v/>
      </c>
      <c r="H25" s="12">
        <f>G25*IF(D25="Marketing",'Configuraciones'!$B$19,IF(D25="Utility",'Configuraciones'!$B$20,IF(D25="Authentication",'Configuraciones'!$B$21,'Configuraciones'!$B$22)))</f>
        <v/>
      </c>
      <c r="I25" s="12">
        <f>E25*'Configuraciones'!$B$13 + (E25-G25)*'Configuraciones'!$B$15</f>
        <v/>
      </c>
      <c r="J25" s="19" t="n">
        <v>0.2</v>
      </c>
      <c r="K25" s="14">
        <f>ROUND(G25*J25,0)</f>
        <v/>
      </c>
      <c r="L25" s="20" t="n">
        <v>1</v>
      </c>
      <c r="M25" s="14">
        <f>ROUND(K25*L25,0)</f>
        <v/>
      </c>
      <c r="N25" s="20" t="n">
        <v>1</v>
      </c>
      <c r="O25" s="4" t="inlineStr">
        <is>
          <t>Utility</t>
        </is>
      </c>
      <c r="P25" s="14">
        <f>ROUND(K25*N25,0)</f>
        <v/>
      </c>
      <c r="Q25" s="14">
        <f>ROUND(P25*(1-F25),0)</f>
        <v/>
      </c>
      <c r="R25" s="12">
        <f>Q25*IF(O25="Marketing",'Configuraciones'!$B$19,IF(O25="Utility",'Configuraciones'!$B$20,IF(O25="Authentication",'Configuraciones'!$B$21,'Configuraciones'!$B$22)))</f>
        <v/>
      </c>
      <c r="S25" s="12">
        <f>M25*'Configuraciones'!$B$14</f>
        <v/>
      </c>
      <c r="T25" s="12">
        <f>P25*'Configuraciones'!$B$13 + (P25-Q25)*'Configuraciones'!$B$15</f>
        <v/>
      </c>
      <c r="U25" s="19" t="n">
        <v>0</v>
      </c>
      <c r="V25" s="14">
        <f>ROUND((E25+M25+P25)*U25,0)</f>
        <v/>
      </c>
      <c r="W25" s="21">
        <f>IF($C$39=0,0,IF($C$36=0,0,$C$39*V25/$C$36))</f>
        <v/>
      </c>
      <c r="X25" s="12">
        <f>H25+R25</f>
        <v/>
      </c>
      <c r="Y25" s="12">
        <f>I25+S25+T25</f>
        <v/>
      </c>
      <c r="Z25" s="12">
        <f>X25*'Configuraciones'!$B$10</f>
        <v/>
      </c>
      <c r="AA25" s="12">
        <f>Y25*'Configuraciones'!$B$9</f>
        <v/>
      </c>
      <c r="AB25" s="12">
        <f>X25+Y25+Z25+AA25+W25</f>
        <v/>
      </c>
      <c r="AC25" s="19" t="n">
        <v>0.05</v>
      </c>
      <c r="AD25" s="14">
        <f>ROUND(K25*AC25,0)</f>
        <v/>
      </c>
      <c r="AE25" s="22" t="n">
        <v>50</v>
      </c>
      <c r="AF25" s="12">
        <f>AD25*AE25</f>
        <v/>
      </c>
      <c r="AG25" s="12">
        <f>AF25-AB25</f>
        <v/>
      </c>
      <c r="AH25" s="15">
        <f>IF(AB25=0,"",AG25/AB25)</f>
        <v/>
      </c>
    </row>
    <row r="26">
      <c r="A26" s="17" t="n">
        <v>14</v>
      </c>
      <c r="B26" s="4" t="inlineStr">
        <is>
          <t>Campaña 14</t>
        </is>
      </c>
      <c r="C26" s="4">
        <f>'Configuraciones'!$B$6</f>
        <v/>
      </c>
      <c r="D26" s="4" t="inlineStr">
        <is>
          <t>Marketing</t>
        </is>
      </c>
      <c r="E26" s="18" t="n">
        <v>0</v>
      </c>
      <c r="F26" s="19" t="n">
        <v>0</v>
      </c>
      <c r="G26" s="14">
        <f>ROUND(E26*(1-F26),0)</f>
        <v/>
      </c>
      <c r="H26" s="12">
        <f>G26*IF(D26="Marketing",'Configuraciones'!$B$19,IF(D26="Utility",'Configuraciones'!$B$20,IF(D26="Authentication",'Configuraciones'!$B$21,'Configuraciones'!$B$22)))</f>
        <v/>
      </c>
      <c r="I26" s="12">
        <f>E26*'Configuraciones'!$B$13 + (E26-G26)*'Configuraciones'!$B$15</f>
        <v/>
      </c>
      <c r="J26" s="19" t="n">
        <v>0.2</v>
      </c>
      <c r="K26" s="14">
        <f>ROUND(G26*J26,0)</f>
        <v/>
      </c>
      <c r="L26" s="20" t="n">
        <v>1</v>
      </c>
      <c r="M26" s="14">
        <f>ROUND(K26*L26,0)</f>
        <v/>
      </c>
      <c r="N26" s="20" t="n">
        <v>1</v>
      </c>
      <c r="O26" s="4" t="inlineStr">
        <is>
          <t>Utility</t>
        </is>
      </c>
      <c r="P26" s="14">
        <f>ROUND(K26*N26,0)</f>
        <v/>
      </c>
      <c r="Q26" s="14">
        <f>ROUND(P26*(1-F26),0)</f>
        <v/>
      </c>
      <c r="R26" s="12">
        <f>Q26*IF(O26="Marketing",'Configuraciones'!$B$19,IF(O26="Utility",'Configuraciones'!$B$20,IF(O26="Authentication",'Configuraciones'!$B$21,'Configuraciones'!$B$22)))</f>
        <v/>
      </c>
      <c r="S26" s="12">
        <f>M26*'Configuraciones'!$B$14</f>
        <v/>
      </c>
      <c r="T26" s="12">
        <f>P26*'Configuraciones'!$B$13 + (P26-Q26)*'Configuraciones'!$B$15</f>
        <v/>
      </c>
      <c r="U26" s="19" t="n">
        <v>0</v>
      </c>
      <c r="V26" s="14">
        <f>ROUND((E26+M26+P26)*U26,0)</f>
        <v/>
      </c>
      <c r="W26" s="21">
        <f>IF($C$39=0,0,IF($C$36=0,0,$C$39*V26/$C$36))</f>
        <v/>
      </c>
      <c r="X26" s="12">
        <f>H26+R26</f>
        <v/>
      </c>
      <c r="Y26" s="12">
        <f>I26+S26+T26</f>
        <v/>
      </c>
      <c r="Z26" s="12">
        <f>X26*'Configuraciones'!$B$10</f>
        <v/>
      </c>
      <c r="AA26" s="12">
        <f>Y26*'Configuraciones'!$B$9</f>
        <v/>
      </c>
      <c r="AB26" s="12">
        <f>X26+Y26+Z26+AA26+W26</f>
        <v/>
      </c>
      <c r="AC26" s="19" t="n">
        <v>0.05</v>
      </c>
      <c r="AD26" s="14">
        <f>ROUND(K26*AC26,0)</f>
        <v/>
      </c>
      <c r="AE26" s="22" t="n">
        <v>50</v>
      </c>
      <c r="AF26" s="12">
        <f>AD26*AE26</f>
        <v/>
      </c>
      <c r="AG26" s="12">
        <f>AF26-AB26</f>
        <v/>
      </c>
      <c r="AH26" s="15">
        <f>IF(AB26=0,"",AG26/AB26)</f>
        <v/>
      </c>
    </row>
    <row r="27">
      <c r="A27" s="17" t="n">
        <v>15</v>
      </c>
      <c r="B27" s="4" t="inlineStr">
        <is>
          <t>Campaña 15</t>
        </is>
      </c>
      <c r="C27" s="4">
        <f>'Configuraciones'!$B$6</f>
        <v/>
      </c>
      <c r="D27" s="4" t="inlineStr">
        <is>
          <t>Marketing</t>
        </is>
      </c>
      <c r="E27" s="18" t="n">
        <v>0</v>
      </c>
      <c r="F27" s="19" t="n">
        <v>0</v>
      </c>
      <c r="G27" s="14">
        <f>ROUND(E27*(1-F27),0)</f>
        <v/>
      </c>
      <c r="H27" s="12">
        <f>G27*IF(D27="Marketing",'Configuraciones'!$B$19,IF(D27="Utility",'Configuraciones'!$B$20,IF(D27="Authentication",'Configuraciones'!$B$21,'Configuraciones'!$B$22)))</f>
        <v/>
      </c>
      <c r="I27" s="12">
        <f>E27*'Configuraciones'!$B$13 + (E27-G27)*'Configuraciones'!$B$15</f>
        <v/>
      </c>
      <c r="J27" s="19" t="n">
        <v>0.2</v>
      </c>
      <c r="K27" s="14">
        <f>ROUND(G27*J27,0)</f>
        <v/>
      </c>
      <c r="L27" s="20" t="n">
        <v>1</v>
      </c>
      <c r="M27" s="14">
        <f>ROUND(K27*L27,0)</f>
        <v/>
      </c>
      <c r="N27" s="20" t="n">
        <v>1</v>
      </c>
      <c r="O27" s="4" t="inlineStr">
        <is>
          <t>Utility</t>
        </is>
      </c>
      <c r="P27" s="14">
        <f>ROUND(K27*N27,0)</f>
        <v/>
      </c>
      <c r="Q27" s="14">
        <f>ROUND(P27*(1-F27),0)</f>
        <v/>
      </c>
      <c r="R27" s="12">
        <f>Q27*IF(O27="Marketing",'Configuraciones'!$B$19,IF(O27="Utility",'Configuraciones'!$B$20,IF(O27="Authentication",'Configuraciones'!$B$21,'Configuraciones'!$B$22)))</f>
        <v/>
      </c>
      <c r="S27" s="12">
        <f>M27*'Configuraciones'!$B$14</f>
        <v/>
      </c>
      <c r="T27" s="12">
        <f>P27*'Configuraciones'!$B$13 + (P27-Q27)*'Configuraciones'!$B$15</f>
        <v/>
      </c>
      <c r="U27" s="19" t="n">
        <v>0</v>
      </c>
      <c r="V27" s="14">
        <f>ROUND((E27+M27+P27)*U27,0)</f>
        <v/>
      </c>
      <c r="W27" s="21">
        <f>IF($C$39=0,0,IF($C$36=0,0,$C$39*V27/$C$36))</f>
        <v/>
      </c>
      <c r="X27" s="12">
        <f>H27+R27</f>
        <v/>
      </c>
      <c r="Y27" s="12">
        <f>I27+S27+T27</f>
        <v/>
      </c>
      <c r="Z27" s="12">
        <f>X27*'Configuraciones'!$B$10</f>
        <v/>
      </c>
      <c r="AA27" s="12">
        <f>Y27*'Configuraciones'!$B$9</f>
        <v/>
      </c>
      <c r="AB27" s="12">
        <f>X27+Y27+Z27+AA27+W27</f>
        <v/>
      </c>
      <c r="AC27" s="19" t="n">
        <v>0.05</v>
      </c>
      <c r="AD27" s="14">
        <f>ROUND(K27*AC27,0)</f>
        <v/>
      </c>
      <c r="AE27" s="22" t="n">
        <v>50</v>
      </c>
      <c r="AF27" s="12">
        <f>AD27*AE27</f>
        <v/>
      </c>
      <c r="AG27" s="12">
        <f>AF27-AB27</f>
        <v/>
      </c>
      <c r="AH27" s="15">
        <f>IF(AB27=0,"",AG27/AB27)</f>
        <v/>
      </c>
    </row>
    <row r="28">
      <c r="A28" s="17" t="n">
        <v>16</v>
      </c>
      <c r="B28" s="4" t="inlineStr">
        <is>
          <t>Campaña 16</t>
        </is>
      </c>
      <c r="C28" s="4">
        <f>'Configuraciones'!$B$6</f>
        <v/>
      </c>
      <c r="D28" s="4" t="inlineStr">
        <is>
          <t>Marketing</t>
        </is>
      </c>
      <c r="E28" s="18" t="n">
        <v>0</v>
      </c>
      <c r="F28" s="19" t="n">
        <v>0</v>
      </c>
      <c r="G28" s="14">
        <f>ROUND(E28*(1-F28),0)</f>
        <v/>
      </c>
      <c r="H28" s="12">
        <f>G28*IF(D28="Marketing",'Configuraciones'!$B$19,IF(D28="Utility",'Configuraciones'!$B$20,IF(D28="Authentication",'Configuraciones'!$B$21,'Configuraciones'!$B$22)))</f>
        <v/>
      </c>
      <c r="I28" s="12">
        <f>E28*'Configuraciones'!$B$13 + (E28-G28)*'Configuraciones'!$B$15</f>
        <v/>
      </c>
      <c r="J28" s="19" t="n">
        <v>0.2</v>
      </c>
      <c r="K28" s="14">
        <f>ROUND(G28*J28,0)</f>
        <v/>
      </c>
      <c r="L28" s="20" t="n">
        <v>1</v>
      </c>
      <c r="M28" s="14">
        <f>ROUND(K28*L28,0)</f>
        <v/>
      </c>
      <c r="N28" s="20" t="n">
        <v>1</v>
      </c>
      <c r="O28" s="4" t="inlineStr">
        <is>
          <t>Utility</t>
        </is>
      </c>
      <c r="P28" s="14">
        <f>ROUND(K28*N28,0)</f>
        <v/>
      </c>
      <c r="Q28" s="14">
        <f>ROUND(P28*(1-F28),0)</f>
        <v/>
      </c>
      <c r="R28" s="12">
        <f>Q28*IF(O28="Marketing",'Configuraciones'!$B$19,IF(O28="Utility",'Configuraciones'!$B$20,IF(O28="Authentication",'Configuraciones'!$B$21,'Configuraciones'!$B$22)))</f>
        <v/>
      </c>
      <c r="S28" s="12">
        <f>M28*'Configuraciones'!$B$14</f>
        <v/>
      </c>
      <c r="T28" s="12">
        <f>P28*'Configuraciones'!$B$13 + (P28-Q28)*'Configuraciones'!$B$15</f>
        <v/>
      </c>
      <c r="U28" s="19" t="n">
        <v>0</v>
      </c>
      <c r="V28" s="14">
        <f>ROUND((E28+M28+P28)*U28,0)</f>
        <v/>
      </c>
      <c r="W28" s="21">
        <f>IF($C$39=0,0,IF($C$36=0,0,$C$39*V28/$C$36))</f>
        <v/>
      </c>
      <c r="X28" s="12">
        <f>H28+R28</f>
        <v/>
      </c>
      <c r="Y28" s="12">
        <f>I28+S28+T28</f>
        <v/>
      </c>
      <c r="Z28" s="12">
        <f>X28*'Configuraciones'!$B$10</f>
        <v/>
      </c>
      <c r="AA28" s="12">
        <f>Y28*'Configuraciones'!$B$9</f>
        <v/>
      </c>
      <c r="AB28" s="12">
        <f>X28+Y28+Z28+AA28+W28</f>
        <v/>
      </c>
      <c r="AC28" s="19" t="n">
        <v>0.05</v>
      </c>
      <c r="AD28" s="14">
        <f>ROUND(K28*AC28,0)</f>
        <v/>
      </c>
      <c r="AE28" s="22" t="n">
        <v>50</v>
      </c>
      <c r="AF28" s="12">
        <f>AD28*AE28</f>
        <v/>
      </c>
      <c r="AG28" s="12">
        <f>AF28-AB28</f>
        <v/>
      </c>
      <c r="AH28" s="15">
        <f>IF(AB28=0,"",AG28/AB28)</f>
        <v/>
      </c>
    </row>
    <row r="29">
      <c r="A29" s="17" t="n">
        <v>17</v>
      </c>
      <c r="B29" s="4" t="inlineStr">
        <is>
          <t>Campaña 17</t>
        </is>
      </c>
      <c r="C29" s="4">
        <f>'Configuraciones'!$B$6</f>
        <v/>
      </c>
      <c r="D29" s="4" t="inlineStr">
        <is>
          <t>Marketing</t>
        </is>
      </c>
      <c r="E29" s="18" t="n">
        <v>0</v>
      </c>
      <c r="F29" s="19" t="n">
        <v>0</v>
      </c>
      <c r="G29" s="14">
        <f>ROUND(E29*(1-F29),0)</f>
        <v/>
      </c>
      <c r="H29" s="12">
        <f>G29*IF(D29="Marketing",'Configuraciones'!$B$19,IF(D29="Utility",'Configuraciones'!$B$20,IF(D29="Authentication",'Configuraciones'!$B$21,'Configuraciones'!$B$22)))</f>
        <v/>
      </c>
      <c r="I29" s="12">
        <f>E29*'Configuraciones'!$B$13 + (E29-G29)*'Configuraciones'!$B$15</f>
        <v/>
      </c>
      <c r="J29" s="19" t="n">
        <v>0.2</v>
      </c>
      <c r="K29" s="14">
        <f>ROUND(G29*J29,0)</f>
        <v/>
      </c>
      <c r="L29" s="20" t="n">
        <v>1</v>
      </c>
      <c r="M29" s="14">
        <f>ROUND(K29*L29,0)</f>
        <v/>
      </c>
      <c r="N29" s="20" t="n">
        <v>1</v>
      </c>
      <c r="O29" s="4" t="inlineStr">
        <is>
          <t>Utility</t>
        </is>
      </c>
      <c r="P29" s="14">
        <f>ROUND(K29*N29,0)</f>
        <v/>
      </c>
      <c r="Q29" s="14">
        <f>ROUND(P29*(1-F29),0)</f>
        <v/>
      </c>
      <c r="R29" s="12">
        <f>Q29*IF(O29="Marketing",'Configuraciones'!$B$19,IF(O29="Utility",'Configuraciones'!$B$20,IF(O29="Authentication",'Configuraciones'!$B$21,'Configuraciones'!$B$22)))</f>
        <v/>
      </c>
      <c r="S29" s="12">
        <f>M29*'Configuraciones'!$B$14</f>
        <v/>
      </c>
      <c r="T29" s="12">
        <f>P29*'Configuraciones'!$B$13 + (P29-Q29)*'Configuraciones'!$B$15</f>
        <v/>
      </c>
      <c r="U29" s="19" t="n">
        <v>0</v>
      </c>
      <c r="V29" s="14">
        <f>ROUND((E29+M29+P29)*U29,0)</f>
        <v/>
      </c>
      <c r="W29" s="21">
        <f>IF($C$39=0,0,IF($C$36=0,0,$C$39*V29/$C$36))</f>
        <v/>
      </c>
      <c r="X29" s="12">
        <f>H29+R29</f>
        <v/>
      </c>
      <c r="Y29" s="12">
        <f>I29+S29+T29</f>
        <v/>
      </c>
      <c r="Z29" s="12">
        <f>X29*'Configuraciones'!$B$10</f>
        <v/>
      </c>
      <c r="AA29" s="12">
        <f>Y29*'Configuraciones'!$B$9</f>
        <v/>
      </c>
      <c r="AB29" s="12">
        <f>X29+Y29+Z29+AA29+W29</f>
        <v/>
      </c>
      <c r="AC29" s="19" t="n">
        <v>0.05</v>
      </c>
      <c r="AD29" s="14">
        <f>ROUND(K29*AC29,0)</f>
        <v/>
      </c>
      <c r="AE29" s="22" t="n">
        <v>50</v>
      </c>
      <c r="AF29" s="12">
        <f>AD29*AE29</f>
        <v/>
      </c>
      <c r="AG29" s="12">
        <f>AF29-AB29</f>
        <v/>
      </c>
      <c r="AH29" s="15">
        <f>IF(AB29=0,"",AG29/AB29)</f>
        <v/>
      </c>
    </row>
    <row r="30">
      <c r="A30" s="17" t="n">
        <v>18</v>
      </c>
      <c r="B30" s="4" t="inlineStr">
        <is>
          <t>Campaña 18</t>
        </is>
      </c>
      <c r="C30" s="4">
        <f>'Configuraciones'!$B$6</f>
        <v/>
      </c>
      <c r="D30" s="4" t="inlineStr">
        <is>
          <t>Marketing</t>
        </is>
      </c>
      <c r="E30" s="18" t="n">
        <v>0</v>
      </c>
      <c r="F30" s="19" t="n">
        <v>0</v>
      </c>
      <c r="G30" s="14">
        <f>ROUND(E30*(1-F30),0)</f>
        <v/>
      </c>
      <c r="H30" s="12">
        <f>G30*IF(D30="Marketing",'Configuraciones'!$B$19,IF(D30="Utility",'Configuraciones'!$B$20,IF(D30="Authentication",'Configuraciones'!$B$21,'Configuraciones'!$B$22)))</f>
        <v/>
      </c>
      <c r="I30" s="12">
        <f>E30*'Configuraciones'!$B$13 + (E30-G30)*'Configuraciones'!$B$15</f>
        <v/>
      </c>
      <c r="J30" s="19" t="n">
        <v>0.2</v>
      </c>
      <c r="K30" s="14">
        <f>ROUND(G30*J30,0)</f>
        <v/>
      </c>
      <c r="L30" s="20" t="n">
        <v>1</v>
      </c>
      <c r="M30" s="14">
        <f>ROUND(K30*L30,0)</f>
        <v/>
      </c>
      <c r="N30" s="20" t="n">
        <v>1</v>
      </c>
      <c r="O30" s="4" t="inlineStr">
        <is>
          <t>Utility</t>
        </is>
      </c>
      <c r="P30" s="14">
        <f>ROUND(K30*N30,0)</f>
        <v/>
      </c>
      <c r="Q30" s="14">
        <f>ROUND(P30*(1-F30),0)</f>
        <v/>
      </c>
      <c r="R30" s="12">
        <f>Q30*IF(O30="Marketing",'Configuraciones'!$B$19,IF(O30="Utility",'Configuraciones'!$B$20,IF(O30="Authentication",'Configuraciones'!$B$21,'Configuraciones'!$B$22)))</f>
        <v/>
      </c>
      <c r="S30" s="12">
        <f>M30*'Configuraciones'!$B$14</f>
        <v/>
      </c>
      <c r="T30" s="12">
        <f>P30*'Configuraciones'!$B$13 + (P30-Q30)*'Configuraciones'!$B$15</f>
        <v/>
      </c>
      <c r="U30" s="19" t="n">
        <v>0</v>
      </c>
      <c r="V30" s="14">
        <f>ROUND((E30+M30+P30)*U30,0)</f>
        <v/>
      </c>
      <c r="W30" s="21">
        <f>IF($C$39=0,0,IF($C$36=0,0,$C$39*V30/$C$36))</f>
        <v/>
      </c>
      <c r="X30" s="12">
        <f>H30+R30</f>
        <v/>
      </c>
      <c r="Y30" s="12">
        <f>I30+S30+T30</f>
        <v/>
      </c>
      <c r="Z30" s="12">
        <f>X30*'Configuraciones'!$B$10</f>
        <v/>
      </c>
      <c r="AA30" s="12">
        <f>Y30*'Configuraciones'!$B$9</f>
        <v/>
      </c>
      <c r="AB30" s="12">
        <f>X30+Y30+Z30+AA30+W30</f>
        <v/>
      </c>
      <c r="AC30" s="19" t="n">
        <v>0.05</v>
      </c>
      <c r="AD30" s="14">
        <f>ROUND(K30*AC30,0)</f>
        <v/>
      </c>
      <c r="AE30" s="22" t="n">
        <v>50</v>
      </c>
      <c r="AF30" s="12">
        <f>AD30*AE30</f>
        <v/>
      </c>
      <c r="AG30" s="12">
        <f>AF30-AB30</f>
        <v/>
      </c>
      <c r="AH30" s="15">
        <f>IF(AB30=0,"",AG30/AB30)</f>
        <v/>
      </c>
    </row>
    <row r="31">
      <c r="A31" s="17" t="n">
        <v>19</v>
      </c>
      <c r="B31" s="4" t="inlineStr">
        <is>
          <t>Campaña 19</t>
        </is>
      </c>
      <c r="C31" s="4">
        <f>'Configuraciones'!$B$6</f>
        <v/>
      </c>
      <c r="D31" s="4" t="inlineStr">
        <is>
          <t>Marketing</t>
        </is>
      </c>
      <c r="E31" s="18" t="n">
        <v>0</v>
      </c>
      <c r="F31" s="19" t="n">
        <v>0</v>
      </c>
      <c r="G31" s="14">
        <f>ROUND(E31*(1-F31),0)</f>
        <v/>
      </c>
      <c r="H31" s="12">
        <f>G31*IF(D31="Marketing",'Configuraciones'!$B$19,IF(D31="Utility",'Configuraciones'!$B$20,IF(D31="Authentication",'Configuraciones'!$B$21,'Configuraciones'!$B$22)))</f>
        <v/>
      </c>
      <c r="I31" s="12">
        <f>E31*'Configuraciones'!$B$13 + (E31-G31)*'Configuraciones'!$B$15</f>
        <v/>
      </c>
      <c r="J31" s="19" t="n">
        <v>0.2</v>
      </c>
      <c r="K31" s="14">
        <f>ROUND(G31*J31,0)</f>
        <v/>
      </c>
      <c r="L31" s="20" t="n">
        <v>1</v>
      </c>
      <c r="M31" s="14">
        <f>ROUND(K31*L31,0)</f>
        <v/>
      </c>
      <c r="N31" s="20" t="n">
        <v>1</v>
      </c>
      <c r="O31" s="4" t="inlineStr">
        <is>
          <t>Utility</t>
        </is>
      </c>
      <c r="P31" s="14">
        <f>ROUND(K31*N31,0)</f>
        <v/>
      </c>
      <c r="Q31" s="14">
        <f>ROUND(P31*(1-F31),0)</f>
        <v/>
      </c>
      <c r="R31" s="12">
        <f>Q31*IF(O31="Marketing",'Configuraciones'!$B$19,IF(O31="Utility",'Configuraciones'!$B$20,IF(O31="Authentication",'Configuraciones'!$B$21,'Configuraciones'!$B$22)))</f>
        <v/>
      </c>
      <c r="S31" s="12">
        <f>M31*'Configuraciones'!$B$14</f>
        <v/>
      </c>
      <c r="T31" s="12">
        <f>P31*'Configuraciones'!$B$13 + (P31-Q31)*'Configuraciones'!$B$15</f>
        <v/>
      </c>
      <c r="U31" s="19" t="n">
        <v>0</v>
      </c>
      <c r="V31" s="14">
        <f>ROUND((E31+M31+P31)*U31,0)</f>
        <v/>
      </c>
      <c r="W31" s="21">
        <f>IF($C$39=0,0,IF($C$36=0,0,$C$39*V31/$C$36))</f>
        <v/>
      </c>
      <c r="X31" s="12">
        <f>H31+R31</f>
        <v/>
      </c>
      <c r="Y31" s="12">
        <f>I31+S31+T31</f>
        <v/>
      </c>
      <c r="Z31" s="12">
        <f>X31*'Configuraciones'!$B$10</f>
        <v/>
      </c>
      <c r="AA31" s="12">
        <f>Y31*'Configuraciones'!$B$9</f>
        <v/>
      </c>
      <c r="AB31" s="12">
        <f>X31+Y31+Z31+AA31+W31</f>
        <v/>
      </c>
      <c r="AC31" s="19" t="n">
        <v>0.05</v>
      </c>
      <c r="AD31" s="14">
        <f>ROUND(K31*AC31,0)</f>
        <v/>
      </c>
      <c r="AE31" s="22" t="n">
        <v>50</v>
      </c>
      <c r="AF31" s="12">
        <f>AD31*AE31</f>
        <v/>
      </c>
      <c r="AG31" s="12">
        <f>AF31-AB31</f>
        <v/>
      </c>
      <c r="AH31" s="15">
        <f>IF(AB31=0,"",AG31/AB31)</f>
        <v/>
      </c>
    </row>
    <row r="32">
      <c r="A32" s="17" t="n">
        <v>20</v>
      </c>
      <c r="B32" s="4" t="inlineStr">
        <is>
          <t>Campaña 20</t>
        </is>
      </c>
      <c r="C32" s="4">
        <f>'Configuraciones'!$B$6</f>
        <v/>
      </c>
      <c r="D32" s="4" t="inlineStr">
        <is>
          <t>Marketing</t>
        </is>
      </c>
      <c r="E32" s="18" t="n">
        <v>0</v>
      </c>
      <c r="F32" s="19" t="n">
        <v>0</v>
      </c>
      <c r="G32" s="14">
        <f>ROUND(E32*(1-F32),0)</f>
        <v/>
      </c>
      <c r="H32" s="12">
        <f>G32*IF(D32="Marketing",'Configuraciones'!$B$19,IF(D32="Utility",'Configuraciones'!$B$20,IF(D32="Authentication",'Configuraciones'!$B$21,'Configuraciones'!$B$22)))</f>
        <v/>
      </c>
      <c r="I32" s="12">
        <f>E32*'Configuraciones'!$B$13 + (E32-G32)*'Configuraciones'!$B$15</f>
        <v/>
      </c>
      <c r="J32" s="19" t="n">
        <v>0.2</v>
      </c>
      <c r="K32" s="14">
        <f>ROUND(G32*J32,0)</f>
        <v/>
      </c>
      <c r="L32" s="20" t="n">
        <v>1</v>
      </c>
      <c r="M32" s="14">
        <f>ROUND(K32*L32,0)</f>
        <v/>
      </c>
      <c r="N32" s="20" t="n">
        <v>1</v>
      </c>
      <c r="O32" s="4" t="inlineStr">
        <is>
          <t>Utility</t>
        </is>
      </c>
      <c r="P32" s="14">
        <f>ROUND(K32*N32,0)</f>
        <v/>
      </c>
      <c r="Q32" s="14">
        <f>ROUND(P32*(1-F32),0)</f>
        <v/>
      </c>
      <c r="R32" s="12">
        <f>Q32*IF(O32="Marketing",'Configuraciones'!$B$19,IF(O32="Utility",'Configuraciones'!$B$20,IF(O32="Authentication",'Configuraciones'!$B$21,'Configuraciones'!$B$22)))</f>
        <v/>
      </c>
      <c r="S32" s="12">
        <f>M32*'Configuraciones'!$B$14</f>
        <v/>
      </c>
      <c r="T32" s="12">
        <f>P32*'Configuraciones'!$B$13 + (P32-Q32)*'Configuraciones'!$B$15</f>
        <v/>
      </c>
      <c r="U32" s="19" t="n">
        <v>0</v>
      </c>
      <c r="V32" s="14">
        <f>ROUND((E32+M32+P32)*U32,0)</f>
        <v/>
      </c>
      <c r="W32" s="21">
        <f>IF($C$39=0,0,IF($C$36=0,0,$C$39*V32/$C$36))</f>
        <v/>
      </c>
      <c r="X32" s="12">
        <f>H32+R32</f>
        <v/>
      </c>
      <c r="Y32" s="12">
        <f>I32+S32+T32</f>
        <v/>
      </c>
      <c r="Z32" s="12">
        <f>X32*'Configuraciones'!$B$10</f>
        <v/>
      </c>
      <c r="AA32" s="12">
        <f>Y32*'Configuraciones'!$B$9</f>
        <v/>
      </c>
      <c r="AB32" s="12">
        <f>X32+Y32+Z32+AA32+W32</f>
        <v/>
      </c>
      <c r="AC32" s="19" t="n">
        <v>0.05</v>
      </c>
      <c r="AD32" s="14">
        <f>ROUND(K32*AC32,0)</f>
        <v/>
      </c>
      <c r="AE32" s="22" t="n">
        <v>50</v>
      </c>
      <c r="AF32" s="12">
        <f>AD32*AE32</f>
        <v/>
      </c>
      <c r="AG32" s="12">
        <f>AF32-AB32</f>
        <v/>
      </c>
      <c r="AH32" s="15">
        <f>IF(AB32=0,"",AG32/AB32)</f>
        <v/>
      </c>
    </row>
    <row r="34">
      <c r="A34" s="25" t="n"/>
      <c r="B34" s="26" t="inlineStr">
        <is>
          <t>Engagement Suite (cálculo global)</t>
        </is>
      </c>
      <c r="C34" s="27" t="n"/>
      <c r="D34" s="27" t="n"/>
      <c r="E34" s="27" t="n"/>
      <c r="F34" s="27" t="n"/>
    </row>
    <row r="35">
      <c r="A35" s="25" t="n"/>
      <c r="B35" s="30" t="inlineStr">
        <is>
          <t>Habilitado?</t>
        </is>
      </c>
      <c r="C35" s="36">
        <f>'Configuraciones'!$B$25</f>
        <v/>
      </c>
      <c r="D35" s="25" t="n"/>
      <c r="E35" s="25" t="n"/>
    </row>
    <row r="36">
      <c r="A36" s="25" t="n"/>
      <c r="B36" s="32" t="inlineStr">
        <is>
          <t>Total Engage msgs</t>
        </is>
      </c>
      <c r="C36" s="33">
        <f>SUM(V13:V32)</f>
        <v/>
      </c>
      <c r="D36" s="25" t="n"/>
      <c r="E36" s="25" t="n"/>
    </row>
    <row r="37">
      <c r="A37" s="25" t="n"/>
      <c r="B37" s="32" t="inlineStr">
        <is>
          <t>Franquicia gratis</t>
        </is>
      </c>
      <c r="C37" s="33">
        <f>'Configuraciones'!$B$27</f>
        <v/>
      </c>
      <c r="D37" s="25" t="n"/>
      <c r="E37" s="25" t="n"/>
    </row>
    <row r="38">
      <c r="A38" s="25" t="n"/>
      <c r="B38" s="32" t="inlineStr">
        <is>
          <t>Mensajes cobrados</t>
        </is>
      </c>
      <c r="C38" s="33">
        <f>MAX(0,C36-C37)</f>
        <v/>
      </c>
      <c r="D38" s="25" t="n"/>
      <c r="E38" s="25" t="n"/>
    </row>
    <row r="39">
      <c r="A39" s="25" t="n"/>
      <c r="B39" s="28" t="inlineStr">
        <is>
          <t>Costo total Engage $</t>
        </is>
      </c>
      <c r="C39" s="29">
        <f>IF(C35="Yes",C38*'Configuraciones'!$B$26,0)</f>
        <v/>
      </c>
      <c r="D39" s="25" t="n"/>
      <c r="E39" s="25" t="n"/>
    </row>
  </sheetData>
  <mergeCells count="3">
    <mergeCell ref="B34:F34"/>
    <mergeCell ref="A1:AH1"/>
    <mergeCell ref="B3:F3"/>
  </mergeCells>
  <dataValidations count="1">
    <dataValidation sqref="D13 D14 D15 D16 D17 D18 D19 D20 D21 D22 D23 D24 D25 D26 D27 D28 D29 D30 D31 D32 O13 O14 O15 O16 O17 O18 O19 O20 O21 O22 O23 O24 O25 O26 O27 O28 O29 O30 O31 O32" showDropDown="0" showInputMessage="0" showErrorMessage="0" allowBlank="0" type="list">
      <formula1>"Marketing,Utility,Authentication,Service"</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2026-01-12T01:12:21Z</dcterms:created>
  <dcterms:modified xmlns:dcterms="http://purl.org/dc/terms/" xmlns:xsi="http://www.w3.org/2001/XMLSchema-instance" xsi:type="dcterms:W3CDTF">2026-01-12T01:22:56Z</dcterms:modified>
</cp:coreProperties>
</file>