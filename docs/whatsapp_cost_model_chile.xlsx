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denny\OneDrive\Documentos\PRACTICAS\PYTHON\Streamlit\BOTH\wa-test\docs\"/>
    </mc:Choice>
  </mc:AlternateContent>
  <xr:revisionPtr revIDLastSave="0" documentId="13_ncr:1_{3C237F8E-16FB-4566-ACF5-154F20A63F2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puts &amp; Settings" sheetId="1" r:id="rId1"/>
    <sheet name="Campaign Planner" sheetId="2" r:id="rId2"/>
    <sheet name="Monthly Summary" sheetId="3" r:id="rId3"/>
    <sheet name="Quick Scenar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" l="1"/>
  <c r="L4" i="3"/>
  <c r="E8" i="4"/>
  <c r="E10" i="4" s="1"/>
  <c r="E7" i="4"/>
  <c r="E9" i="4" s="1"/>
  <c r="E6" i="4"/>
  <c r="E5" i="4"/>
  <c r="E3" i="4"/>
  <c r="E4" i="4" s="1"/>
  <c r="E11" i="4" s="1"/>
  <c r="Q14" i="3"/>
  <c r="Q13" i="3"/>
  <c r="Q12" i="3"/>
  <c r="Q11" i="3"/>
  <c r="Q10" i="3"/>
  <c r="Q9" i="3"/>
  <c r="Q8" i="3"/>
  <c r="Q7" i="3"/>
  <c r="Q6" i="3"/>
  <c r="Q5" i="3"/>
  <c r="Q4" i="3"/>
  <c r="Q3" i="3"/>
  <c r="AB21" i="2"/>
  <c r="V21" i="2"/>
  <c r="S21" i="2"/>
  <c r="R21" i="2"/>
  <c r="Y21" i="2" s="1"/>
  <c r="Q21" i="2"/>
  <c r="P21" i="2"/>
  <c r="AA21" i="2" s="1"/>
  <c r="O21" i="2"/>
  <c r="X21" i="2" s="1"/>
  <c r="L21" i="2"/>
  <c r="K21" i="2"/>
  <c r="C21" i="2"/>
  <c r="AB20" i="2"/>
  <c r="O20" i="2"/>
  <c r="P20" i="2" s="1"/>
  <c r="AA20" i="2" s="1"/>
  <c r="L20" i="2"/>
  <c r="K20" i="2"/>
  <c r="C20" i="2"/>
  <c r="Q19" i="2"/>
  <c r="S19" i="2" s="1"/>
  <c r="P19" i="2"/>
  <c r="AA19" i="2" s="1"/>
  <c r="O19" i="2"/>
  <c r="V19" i="2" s="1"/>
  <c r="L19" i="2"/>
  <c r="AB19" i="2" s="1"/>
  <c r="K19" i="2"/>
  <c r="C19" i="2"/>
  <c r="V18" i="2"/>
  <c r="O18" i="2"/>
  <c r="P18" i="2" s="1"/>
  <c r="AA18" i="2" s="1"/>
  <c r="L18" i="2"/>
  <c r="AB18" i="2" s="1"/>
  <c r="K18" i="2"/>
  <c r="C18" i="2"/>
  <c r="X17" i="2"/>
  <c r="O17" i="2"/>
  <c r="Q17" i="2" s="1"/>
  <c r="L17" i="2"/>
  <c r="AB17" i="2" s="1"/>
  <c r="K17" i="2"/>
  <c r="C17" i="2"/>
  <c r="AB16" i="2"/>
  <c r="X16" i="2"/>
  <c r="Q16" i="2"/>
  <c r="S16" i="2" s="1"/>
  <c r="P16" i="2"/>
  <c r="AA16" i="2" s="1"/>
  <c r="O16" i="2"/>
  <c r="V16" i="2" s="1"/>
  <c r="L16" i="2"/>
  <c r="K16" i="2"/>
  <c r="C16" i="2"/>
  <c r="AB15" i="2"/>
  <c r="X15" i="2"/>
  <c r="V15" i="2"/>
  <c r="Q15" i="2"/>
  <c r="S15" i="2" s="1"/>
  <c r="P15" i="2"/>
  <c r="AA15" i="2" s="1"/>
  <c r="O15" i="2"/>
  <c r="L15" i="2"/>
  <c r="K15" i="2"/>
  <c r="C15" i="2"/>
  <c r="O14" i="2"/>
  <c r="X14" i="2" s="1"/>
  <c r="L14" i="2"/>
  <c r="AB14" i="2" s="1"/>
  <c r="K14" i="2"/>
  <c r="C14" i="2"/>
  <c r="O13" i="2"/>
  <c r="Q13" i="2" s="1"/>
  <c r="L13" i="2"/>
  <c r="AB13" i="2" s="1"/>
  <c r="K13" i="2"/>
  <c r="C13" i="2"/>
  <c r="X12" i="2"/>
  <c r="O12" i="2"/>
  <c r="V12" i="2" s="1"/>
  <c r="L12" i="2"/>
  <c r="AB12" i="2" s="1"/>
  <c r="K12" i="2"/>
  <c r="C12" i="2"/>
  <c r="X11" i="2"/>
  <c r="Q11" i="2"/>
  <c r="R11" i="2" s="1"/>
  <c r="Y11" i="2" s="1"/>
  <c r="P11" i="2"/>
  <c r="AA11" i="2" s="1"/>
  <c r="O11" i="2"/>
  <c r="V11" i="2" s="1"/>
  <c r="L11" i="2"/>
  <c r="AB11" i="2" s="1"/>
  <c r="K11" i="2"/>
  <c r="C11" i="2"/>
  <c r="X10" i="2"/>
  <c r="V10" i="2"/>
  <c r="Q10" i="2"/>
  <c r="S10" i="2" s="1"/>
  <c r="O10" i="2"/>
  <c r="P10" i="2" s="1"/>
  <c r="AA10" i="2" s="1"/>
  <c r="L10" i="2"/>
  <c r="AB10" i="2" s="1"/>
  <c r="K10" i="2"/>
  <c r="C10" i="2"/>
  <c r="AB9" i="2"/>
  <c r="O9" i="2"/>
  <c r="X9" i="2" s="1"/>
  <c r="L9" i="2"/>
  <c r="K9" i="2"/>
  <c r="C9" i="2"/>
  <c r="AB8" i="2"/>
  <c r="O8" i="2"/>
  <c r="P8" i="2" s="1"/>
  <c r="AA8" i="2" s="1"/>
  <c r="L8" i="2"/>
  <c r="K8" i="2"/>
  <c r="C8" i="2"/>
  <c r="O7" i="2"/>
  <c r="V7" i="2" s="1"/>
  <c r="L7" i="2"/>
  <c r="AB7" i="2" s="1"/>
  <c r="K7" i="2"/>
  <c r="C7" i="2"/>
  <c r="V6" i="2"/>
  <c r="O6" i="2"/>
  <c r="P6" i="2" s="1"/>
  <c r="AA6" i="2" s="1"/>
  <c r="L6" i="2"/>
  <c r="AB6" i="2" s="1"/>
  <c r="K6" i="2"/>
  <c r="C6" i="2"/>
  <c r="X5" i="2"/>
  <c r="O5" i="2"/>
  <c r="Q5" i="2" s="1"/>
  <c r="L5" i="2"/>
  <c r="AB5" i="2" s="1"/>
  <c r="K5" i="2"/>
  <c r="C5" i="2"/>
  <c r="AB4" i="2"/>
  <c r="X4" i="2"/>
  <c r="Q4" i="2"/>
  <c r="S4" i="2" s="1"/>
  <c r="P4" i="2"/>
  <c r="AA4" i="2" s="1"/>
  <c r="O4" i="2"/>
  <c r="V4" i="2" s="1"/>
  <c r="L4" i="2"/>
  <c r="K4" i="2"/>
  <c r="C4" i="2"/>
  <c r="AB3" i="2"/>
  <c r="O3" i="2"/>
  <c r="V3" i="2" s="1"/>
  <c r="L3" i="2"/>
  <c r="K3" i="2"/>
  <c r="C3" i="2"/>
  <c r="O2" i="2"/>
  <c r="X2" i="2" s="1"/>
  <c r="L2" i="2"/>
  <c r="AB2" i="2" s="1"/>
  <c r="K2" i="2"/>
  <c r="C2" i="2"/>
  <c r="H14" i="3" s="1"/>
  <c r="Q3" i="2" l="1"/>
  <c r="S3" i="2" s="1"/>
  <c r="X3" i="2"/>
  <c r="P3" i="2"/>
  <c r="AA3" i="2" s="1"/>
  <c r="S17" i="2"/>
  <c r="R17" i="2"/>
  <c r="Y17" i="2" s="1"/>
  <c r="Z15" i="2"/>
  <c r="T15" i="2"/>
  <c r="W15" i="2" s="1"/>
  <c r="Z4" i="2"/>
  <c r="U4" i="2"/>
  <c r="T4" i="2"/>
  <c r="W4" i="2" s="1"/>
  <c r="Z3" i="2"/>
  <c r="T3" i="2"/>
  <c r="W3" i="2" s="1"/>
  <c r="S13" i="2"/>
  <c r="R13" i="2"/>
  <c r="Y13" i="2" s="1"/>
  <c r="S5" i="2"/>
  <c r="R5" i="2"/>
  <c r="Y5" i="2" s="1"/>
  <c r="T10" i="2"/>
  <c r="W10" i="2" s="1"/>
  <c r="Z10" i="2"/>
  <c r="U10" i="2"/>
  <c r="Z16" i="2"/>
  <c r="U16" i="2"/>
  <c r="T16" i="2"/>
  <c r="W16" i="2" s="1"/>
  <c r="U19" i="2"/>
  <c r="Z19" i="2"/>
  <c r="T19" i="2"/>
  <c r="W19" i="2" s="1"/>
  <c r="V9" i="2"/>
  <c r="V2" i="2"/>
  <c r="V5" i="2"/>
  <c r="Q6" i="2"/>
  <c r="X7" i="2"/>
  <c r="V17" i="2"/>
  <c r="Q18" i="2"/>
  <c r="X19" i="2"/>
  <c r="Z21" i="2"/>
  <c r="K3" i="3"/>
  <c r="C5" i="3"/>
  <c r="E6" i="3"/>
  <c r="G7" i="3"/>
  <c r="I8" i="3"/>
  <c r="K9" i="3"/>
  <c r="M10" i="3"/>
  <c r="C11" i="3"/>
  <c r="E12" i="3"/>
  <c r="G13" i="3"/>
  <c r="I14" i="3"/>
  <c r="J14" i="3" s="1"/>
  <c r="B4" i="3"/>
  <c r="D5" i="3"/>
  <c r="P5" i="3"/>
  <c r="R5" i="3" s="1"/>
  <c r="S5" i="3" s="1"/>
  <c r="F6" i="3"/>
  <c r="H7" i="3"/>
  <c r="L9" i="3"/>
  <c r="B10" i="3"/>
  <c r="AA10" i="3" s="1"/>
  <c r="N10" i="3"/>
  <c r="D11" i="3"/>
  <c r="P11" i="3"/>
  <c r="R11" i="3" s="1"/>
  <c r="S11" i="3" s="1"/>
  <c r="F12" i="3"/>
  <c r="H13" i="3"/>
  <c r="C4" i="3"/>
  <c r="E5" i="3"/>
  <c r="G6" i="3"/>
  <c r="I7" i="3"/>
  <c r="K8" i="3"/>
  <c r="M9" i="3"/>
  <c r="C10" i="3"/>
  <c r="E11" i="3"/>
  <c r="G12" i="3"/>
  <c r="I13" i="3"/>
  <c r="K14" i="3"/>
  <c r="V8" i="2"/>
  <c r="Q9" i="2"/>
  <c r="S11" i="2"/>
  <c r="P14" i="2"/>
  <c r="AA14" i="2" s="1"/>
  <c r="R16" i="2"/>
  <c r="Y16" i="2" s="1"/>
  <c r="V20" i="2"/>
  <c r="B3" i="3"/>
  <c r="P4" i="3"/>
  <c r="R4" i="3" s="1"/>
  <c r="S4" i="3" s="1"/>
  <c r="F5" i="3"/>
  <c r="H6" i="3"/>
  <c r="L8" i="3"/>
  <c r="B9" i="3"/>
  <c r="AA9" i="3" s="1"/>
  <c r="N9" i="3"/>
  <c r="D10" i="3"/>
  <c r="P10" i="3"/>
  <c r="R10" i="3" s="1"/>
  <c r="S10" i="3" s="1"/>
  <c r="F11" i="3"/>
  <c r="H12" i="3"/>
  <c r="L14" i="3"/>
  <c r="P2" i="2"/>
  <c r="AA2" i="2" s="1"/>
  <c r="N3" i="3" s="1"/>
  <c r="R4" i="2"/>
  <c r="Y4" i="2" s="1"/>
  <c r="Q2" i="2"/>
  <c r="E4" i="3" s="1"/>
  <c r="P7" i="2"/>
  <c r="AA7" i="2" s="1"/>
  <c r="V13" i="2"/>
  <c r="Q14" i="2"/>
  <c r="C3" i="3"/>
  <c r="G5" i="3"/>
  <c r="I6" i="3"/>
  <c r="K7" i="3"/>
  <c r="M8" i="3"/>
  <c r="C9" i="3"/>
  <c r="E10" i="3"/>
  <c r="G11" i="3"/>
  <c r="I12" i="3"/>
  <c r="K13" i="3"/>
  <c r="M14" i="3"/>
  <c r="P9" i="2"/>
  <c r="AA9" i="2" s="1"/>
  <c r="X8" i="2"/>
  <c r="P12" i="2"/>
  <c r="AA12" i="2" s="1"/>
  <c r="P3" i="3"/>
  <c r="R3" i="3" s="1"/>
  <c r="S3" i="3" s="1"/>
  <c r="H5" i="3"/>
  <c r="L7" i="3"/>
  <c r="B8" i="3"/>
  <c r="AA8" i="3" s="1"/>
  <c r="N8" i="3"/>
  <c r="D9" i="3"/>
  <c r="P9" i="3"/>
  <c r="R9" i="3" s="1"/>
  <c r="S9" i="3" s="1"/>
  <c r="F10" i="3"/>
  <c r="H11" i="3"/>
  <c r="L13" i="3"/>
  <c r="B14" i="3"/>
  <c r="AA14" i="3" s="1"/>
  <c r="N14" i="3"/>
  <c r="Q7" i="2"/>
  <c r="X20" i="2"/>
  <c r="P5" i="2"/>
  <c r="AA5" i="2" s="1"/>
  <c r="Q12" i="2"/>
  <c r="X13" i="2"/>
  <c r="P17" i="2"/>
  <c r="AA17" i="2" s="1"/>
  <c r="R19" i="2"/>
  <c r="Y19" i="2" s="1"/>
  <c r="T21" i="2"/>
  <c r="W21" i="2" s="1"/>
  <c r="I5" i="3"/>
  <c r="K6" i="3"/>
  <c r="M7" i="3"/>
  <c r="C8" i="3"/>
  <c r="E9" i="3"/>
  <c r="G10" i="3"/>
  <c r="I11" i="3"/>
  <c r="K12" i="3"/>
  <c r="M13" i="3"/>
  <c r="C14" i="3"/>
  <c r="X6" i="2"/>
  <c r="X18" i="2"/>
  <c r="H4" i="3"/>
  <c r="L6" i="3"/>
  <c r="B7" i="3"/>
  <c r="AA7" i="3" s="1"/>
  <c r="N7" i="3"/>
  <c r="D8" i="3"/>
  <c r="P8" i="3"/>
  <c r="R8" i="3" s="1"/>
  <c r="S8" i="3" s="1"/>
  <c r="F9" i="3"/>
  <c r="H10" i="3"/>
  <c r="L12" i="3"/>
  <c r="B13" i="3"/>
  <c r="AA13" i="3" s="1"/>
  <c r="N13" i="3"/>
  <c r="D14" i="3"/>
  <c r="P14" i="3"/>
  <c r="R14" i="3" s="1"/>
  <c r="S14" i="3" s="1"/>
  <c r="K5" i="3"/>
  <c r="M6" i="3"/>
  <c r="C7" i="3"/>
  <c r="E8" i="3"/>
  <c r="G9" i="3"/>
  <c r="I10" i="3"/>
  <c r="K11" i="3"/>
  <c r="M12" i="3"/>
  <c r="C13" i="3"/>
  <c r="E14" i="3"/>
  <c r="L5" i="3"/>
  <c r="B6" i="3"/>
  <c r="AA6" i="3" s="1"/>
  <c r="N6" i="3"/>
  <c r="D7" i="3"/>
  <c r="P7" i="3"/>
  <c r="R7" i="3" s="1"/>
  <c r="S7" i="3" s="1"/>
  <c r="F8" i="3"/>
  <c r="H9" i="3"/>
  <c r="L11" i="3"/>
  <c r="B12" i="3"/>
  <c r="AA12" i="3" s="1"/>
  <c r="N12" i="3"/>
  <c r="D13" i="3"/>
  <c r="P13" i="3"/>
  <c r="R13" i="3" s="1"/>
  <c r="S13" i="3" s="1"/>
  <c r="F14" i="3"/>
  <c r="R10" i="2"/>
  <c r="Y10" i="2" s="1"/>
  <c r="V14" i="2"/>
  <c r="R3" i="2"/>
  <c r="Y3" i="2" s="1"/>
  <c r="Q8" i="2"/>
  <c r="P13" i="2"/>
  <c r="AA13" i="2" s="1"/>
  <c r="R15" i="2"/>
  <c r="Y15" i="2" s="1"/>
  <c r="Q20" i="2"/>
  <c r="M5" i="3"/>
  <c r="C6" i="3"/>
  <c r="E7" i="3"/>
  <c r="G8" i="3"/>
  <c r="I9" i="3"/>
  <c r="K10" i="3"/>
  <c r="M11" i="3"/>
  <c r="C12" i="3"/>
  <c r="E13" i="3"/>
  <c r="G14" i="3"/>
  <c r="B5" i="3"/>
  <c r="N5" i="3"/>
  <c r="D6" i="3"/>
  <c r="P6" i="3"/>
  <c r="R6" i="3" s="1"/>
  <c r="S6" i="3" s="1"/>
  <c r="F7" i="3"/>
  <c r="H8" i="3"/>
  <c r="J8" i="3" s="1"/>
  <c r="L10" i="3"/>
  <c r="B11" i="3"/>
  <c r="AA11" i="3" s="1"/>
  <c r="N11" i="3"/>
  <c r="D12" i="3"/>
  <c r="P12" i="3"/>
  <c r="R12" i="3" s="1"/>
  <c r="S12" i="3" s="1"/>
  <c r="F13" i="3"/>
  <c r="N4" i="3" l="1"/>
  <c r="D4" i="3"/>
  <c r="H3" i="3"/>
  <c r="J5" i="3"/>
  <c r="O7" i="3"/>
  <c r="U7" i="3" s="1"/>
  <c r="J12" i="3"/>
  <c r="V14" i="3"/>
  <c r="R12" i="2"/>
  <c r="Y12" i="2" s="1"/>
  <c r="S12" i="2"/>
  <c r="S2" i="2"/>
  <c r="G4" i="3" s="1"/>
  <c r="R2" i="2"/>
  <c r="F4" i="3" s="1"/>
  <c r="T13" i="2"/>
  <c r="W13" i="2" s="1"/>
  <c r="U13" i="2"/>
  <c r="Z13" i="2"/>
  <c r="O5" i="3"/>
  <c r="U5" i="3" s="1"/>
  <c r="U3" i="2"/>
  <c r="S7" i="2"/>
  <c r="R7" i="2"/>
  <c r="Y7" i="2" s="1"/>
  <c r="S18" i="2"/>
  <c r="R18" i="2"/>
  <c r="Y18" i="2" s="1"/>
  <c r="V12" i="3"/>
  <c r="D3" i="3"/>
  <c r="O8" i="3"/>
  <c r="U8" i="3" s="1"/>
  <c r="V5" i="3"/>
  <c r="J7" i="3"/>
  <c r="O9" i="3"/>
  <c r="U9" i="3" s="1"/>
  <c r="S6" i="2"/>
  <c r="R6" i="2"/>
  <c r="Y6" i="2" s="1"/>
  <c r="O6" i="3"/>
  <c r="U6" i="3" s="1"/>
  <c r="R20" i="2"/>
  <c r="Y20" i="2" s="1"/>
  <c r="S20" i="2"/>
  <c r="O11" i="3"/>
  <c r="U11" i="3" s="1"/>
  <c r="E3" i="3"/>
  <c r="J11" i="3"/>
  <c r="Z11" i="2"/>
  <c r="T11" i="2"/>
  <c r="W11" i="2" s="1"/>
  <c r="U15" i="2"/>
  <c r="V8" i="3"/>
  <c r="J9" i="3"/>
  <c r="J10" i="3"/>
  <c r="S14" i="2"/>
  <c r="R14" i="2"/>
  <c r="Y14" i="2" s="1"/>
  <c r="S9" i="2"/>
  <c r="R9" i="2"/>
  <c r="Y9" i="2" s="1"/>
  <c r="U5" i="2"/>
  <c r="T5" i="2"/>
  <c r="W5" i="2" s="1"/>
  <c r="Z5" i="2"/>
  <c r="R8" i="2"/>
  <c r="Y8" i="2" s="1"/>
  <c r="S8" i="2"/>
  <c r="O12" i="3"/>
  <c r="U12" i="3" s="1"/>
  <c r="O13" i="3"/>
  <c r="U13" i="3" s="1"/>
  <c r="U21" i="2"/>
  <c r="O10" i="3"/>
  <c r="U10" i="3" s="1"/>
  <c r="J6" i="3"/>
  <c r="O14" i="3"/>
  <c r="U14" i="3" s="1"/>
  <c r="J13" i="3"/>
  <c r="U17" i="2"/>
  <c r="T17" i="2"/>
  <c r="W17" i="2" s="1"/>
  <c r="Z17" i="2"/>
  <c r="T5" i="3" l="1"/>
  <c r="W5" i="3" s="1"/>
  <c r="X5" i="3" s="1"/>
  <c r="T12" i="3"/>
  <c r="W12" i="3" s="1"/>
  <c r="X12" i="3" s="1"/>
  <c r="Y2" i="2"/>
  <c r="F3" i="3"/>
  <c r="V9" i="3"/>
  <c r="T9" i="3"/>
  <c r="Z8" i="2"/>
  <c r="U8" i="2"/>
  <c r="T8" i="2"/>
  <c r="W8" i="2" s="1"/>
  <c r="T8" i="3"/>
  <c r="W8" i="3" s="1"/>
  <c r="X8" i="3" s="1"/>
  <c r="Z18" i="2"/>
  <c r="U18" i="2"/>
  <c r="T18" i="2"/>
  <c r="W18" i="2" s="1"/>
  <c r="Z6" i="2"/>
  <c r="T6" i="2"/>
  <c r="W6" i="2" s="1"/>
  <c r="V11" i="3"/>
  <c r="T11" i="3"/>
  <c r="Z14" i="2"/>
  <c r="T14" i="2"/>
  <c r="W14" i="2" s="1"/>
  <c r="U14" i="2"/>
  <c r="V10" i="3"/>
  <c r="T10" i="3"/>
  <c r="Z20" i="2"/>
  <c r="T20" i="2"/>
  <c r="W20" i="2" s="1"/>
  <c r="T12" i="2"/>
  <c r="W12" i="2" s="1"/>
  <c r="U12" i="2"/>
  <c r="Z12" i="2"/>
  <c r="Z7" i="2"/>
  <c r="T7" i="2"/>
  <c r="W7" i="2" s="1"/>
  <c r="T14" i="3"/>
  <c r="W14" i="3" s="1"/>
  <c r="X14" i="3" s="1"/>
  <c r="V13" i="3"/>
  <c r="T13" i="3"/>
  <c r="T9" i="2"/>
  <c r="W9" i="2" s="1"/>
  <c r="Z9" i="2"/>
  <c r="V6" i="3"/>
  <c r="T6" i="3"/>
  <c r="T2" i="2"/>
  <c r="W2" i="2" s="1"/>
  <c r="U2" i="2"/>
  <c r="Z2" i="2"/>
  <c r="G3" i="3"/>
  <c r="U11" i="2"/>
  <c r="V7" i="3"/>
  <c r="T7" i="3"/>
  <c r="I3" i="3" l="1"/>
  <c r="J3" i="3" s="1"/>
  <c r="I4" i="3"/>
  <c r="J4" i="3" s="1"/>
  <c r="M3" i="3"/>
  <c r="M4" i="3"/>
  <c r="L3" i="3"/>
  <c r="Y8" i="3"/>
  <c r="Y14" i="3"/>
  <c r="Y12" i="3"/>
  <c r="Y5" i="3"/>
  <c r="Z5" i="3" s="1"/>
  <c r="AA5" i="3" s="1"/>
  <c r="W9" i="3"/>
  <c r="X9" i="3" s="1"/>
  <c r="W11" i="3"/>
  <c r="X11" i="3" s="1"/>
  <c r="U7" i="2"/>
  <c r="V3" i="3"/>
  <c r="W6" i="3"/>
  <c r="X6" i="3" s="1"/>
  <c r="U6" i="2"/>
  <c r="U9" i="2"/>
  <c r="U20" i="2"/>
  <c r="W7" i="3"/>
  <c r="X7" i="3" s="1"/>
  <c r="W13" i="3"/>
  <c r="X13" i="3" s="1"/>
  <c r="W10" i="3"/>
  <c r="X10" i="3" s="1"/>
  <c r="O3" i="3" l="1"/>
  <c r="U3" i="3" s="1"/>
  <c r="O4" i="3"/>
  <c r="U4" i="3" s="1"/>
  <c r="V4" i="3"/>
  <c r="T4" i="3"/>
  <c r="W4" i="3" s="1"/>
  <c r="X4" i="3" s="1"/>
  <c r="Y11" i="3"/>
  <c r="Y9" i="3"/>
  <c r="Y10" i="3"/>
  <c r="Y13" i="3"/>
  <c r="Y7" i="3"/>
  <c r="Y6" i="3"/>
  <c r="T3" i="3"/>
  <c r="W3" i="3" s="1"/>
  <c r="Y4" i="3" l="1"/>
  <c r="Z4" i="3" s="1"/>
  <c r="AA4" i="3" s="1"/>
  <c r="X3" i="3"/>
  <c r="Y3" i="3" s="1"/>
  <c r="Z3" i="3" s="1"/>
  <c r="AA3" i="3" s="1"/>
</calcChain>
</file>

<file path=xl/sharedStrings.xml><?xml version="1.0" encoding="utf-8"?>
<sst xmlns="http://schemas.openxmlformats.org/spreadsheetml/2006/main" count="148" uniqueCount="106">
  <si>
    <t>WhatsApp Cost Model (Twilio + Meta) — Inputs</t>
  </si>
  <si>
    <t>Edit BLUE cells only. Black cells are formulas.</t>
  </si>
  <si>
    <t>General</t>
  </si>
  <si>
    <t>Meta rates (per message delivered)</t>
  </si>
  <si>
    <t>Country</t>
  </si>
  <si>
    <t>Chile</t>
  </si>
  <si>
    <t>Category</t>
  </si>
  <si>
    <t>Rate (USD)</t>
  </si>
  <si>
    <t>Currency</t>
  </si>
  <si>
    <t>USD</t>
  </si>
  <si>
    <t>Marketing</t>
  </si>
  <si>
    <t>Month (YYYY-MM) default</t>
  </si>
  <si>
    <t>2026-01</t>
  </si>
  <si>
    <t>Utility</t>
  </si>
  <si>
    <t>Authentication</t>
  </si>
  <si>
    <t>Tax / Sales Tax</t>
  </si>
  <si>
    <t>Service</t>
  </si>
  <si>
    <t>Tax rate on Twilio charges</t>
  </si>
  <si>
    <t>Tax rate on Meta pass-through</t>
  </si>
  <si>
    <t>Defaults</t>
  </si>
  <si>
    <t>Note</t>
  </si>
  <si>
    <t>If Twilio invoices everything together, tax may apply to both. Adjust as needed.</t>
  </si>
  <si>
    <t>Assume replies are Service?</t>
  </si>
  <si>
    <t>Yes</t>
  </si>
  <si>
    <t>Default reply template category (if used)</t>
  </si>
  <si>
    <t>Twilio per-message fees</t>
  </si>
  <si>
    <t>Channels Outbound per message (USD)</t>
  </si>
  <si>
    <t>Channels Inbound per message (USD)</t>
  </si>
  <si>
    <t>Failed message processing fee (USD) — optional</t>
  </si>
  <si>
    <t>Engagement Suite (optional)</t>
  </si>
  <si>
    <t>Enabled? (Yes/No)</t>
  </si>
  <si>
    <t>No</t>
  </si>
  <si>
    <t>Fee per message when used (USD)</t>
  </si>
  <si>
    <t>Free allowance per month (messages)</t>
  </si>
  <si>
    <t>Campaign ID</t>
  </si>
  <si>
    <t>Campaign Name</t>
  </si>
  <si>
    <t>Month (YYYY-MM)</t>
  </si>
  <si>
    <t>Outbound Category</t>
  </si>
  <si>
    <t>Planned Outbound Msgs</t>
  </si>
  <si>
    <t>Failure Rate</t>
  </si>
  <si>
    <t>Response Rate</t>
  </si>
  <si>
    <t>Avg Inbound Msgs / Responder</t>
  </si>
  <si>
    <t>Avg Reply Msgs / Responder</t>
  </si>
  <si>
    <t>Reply Template %</t>
  </si>
  <si>
    <t>Reply Template Category</t>
  </si>
  <si>
    <t>Engagement Used?</t>
  </si>
  <si>
    <t>Engagement Apply %</t>
  </si>
  <si>
    <t>Notes</t>
  </si>
  <si>
    <t>Delivered Outbound</t>
  </si>
  <si>
    <t>Failed Outbound</t>
  </si>
  <si>
    <t>Responders</t>
  </si>
  <si>
    <t>Inbound Msgs</t>
  </si>
  <si>
    <t>Reply Msgs (Total)</t>
  </si>
  <si>
    <t>Reply Msgs (Template)</t>
  </si>
  <si>
    <t>Reply Msgs (Service)</t>
  </si>
  <si>
    <t>Meta Cost (Outbound)</t>
  </si>
  <si>
    <t>Meta Cost (Reply Templates)</t>
  </si>
  <si>
    <t>Twilio Cost (Outbound)</t>
  </si>
  <si>
    <t>Twilio Cost (Inbound)</t>
  </si>
  <si>
    <t>Twilio Cost (Reply Outbound)</t>
  </si>
  <si>
    <t>Twilio Failed Fee</t>
  </si>
  <si>
    <t>Engagement Msgs</t>
  </si>
  <si>
    <t>Monthly Summary (all campaigns)</t>
  </si>
  <si>
    <t>Month</t>
  </si>
  <si>
    <t>Outbound Planned</t>
  </si>
  <si>
    <t>Outbound Delivered</t>
  </si>
  <si>
    <t>Outbound Failed</t>
  </si>
  <si>
    <t>Reply Msgs</t>
  </si>
  <si>
    <t>Meta Cost (Total)</t>
  </si>
  <si>
    <t>Twilio Cost (Total)</t>
  </si>
  <si>
    <t>Engagement Free Allowance</t>
  </si>
  <si>
    <t>Engagement Billable Msgs</t>
  </si>
  <si>
    <t>Engagement Cost</t>
  </si>
  <si>
    <t>Subtotal (Pre-Tax)</t>
  </si>
  <si>
    <t>Tax on Twilio</t>
  </si>
  <si>
    <t>Tax on Meta</t>
  </si>
  <si>
    <t>Total (With Tax)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</si>
  <si>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</si>
  <si>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</si>
  <si>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</si>
  <si>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</si>
  <si>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</si>
  <si>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</si>
  <si>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</si>
  <si>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</si>
  <si>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</si>
  <si>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</si>
  <si>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</si>
  <si>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Fill campaigns in 'Campaign Planner'. Adjust rates &amp; taxes in 'Inputs &amp; Settings'.</t>
  </si>
  <si>
    <t>Quick Scenario: 500 WhatsApp (Chile)</t>
  </si>
  <si>
    <t>Delivered</t>
  </si>
  <si>
    <t>Meta cost outbound</t>
  </si>
  <si>
    <t>Twilio cost outbound</t>
  </si>
  <si>
    <t>Avg inbound msgs / responder</t>
  </si>
  <si>
    <t>Inbound msgs</t>
  </si>
  <si>
    <t>Avg reply msgs / responder</t>
  </si>
  <si>
    <t>Reply msgs</t>
  </si>
  <si>
    <t>Reply template %</t>
  </si>
  <si>
    <t>Twilio inbound cost</t>
  </si>
  <si>
    <t>Twilio reply cost</t>
  </si>
  <si>
    <t>Subtotal (no tax)</t>
  </si>
  <si>
    <t>Manage</t>
  </si>
  <si>
    <t>Denpar</t>
  </si>
  <si>
    <t>campaña1</t>
  </si>
  <si>
    <t>campaña2</t>
  </si>
  <si>
    <t>Total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</si>
</sst>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164" formatCode="&quot;$&quot;#,##0.0000"/>
    <numFmt numFmtId="165" formatCode="&quot;$&quot;#,##0.00"/>
    <numFmt numFmtId="170" formatCode="[$$-409]#,##0.00_ ;\-[$$-409]#,##0.00\ "/>
    <numFmt numFmtId="171" formatCode="[$$-340A]#,##0"/>
  </numFmts>
  <fonts count="10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1"/>
      <color rgb="FF666666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3">
    <xf numFmtId="0" fontId="0" fillId="0" borderId="0"/>
    <xf numFmtId="42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10" fontId="4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10" fontId="4" fillId="0" borderId="1" xfId="0" applyNumberFormat="1" applyFont="1" applyBorder="1" applyAlignment="1">
      <alignment horizontal="right" vertical="center" wrapText="1"/>
    </xf>
    <xf numFmtId="2" fontId="4" fillId="0" borderId="1" xfId="0" applyNumberFormat="1" applyFont="1" applyBorder="1" applyAlignment="1">
      <alignment horizontal="right" vertical="center" wrapText="1"/>
    </xf>
    <xf numFmtId="3" fontId="6" fillId="0" borderId="1" xfId="0" applyNumberFormat="1" applyFont="1" applyBorder="1" applyAlignment="1">
      <alignment horizontal="right" vertical="center" wrapText="1"/>
    </xf>
    <xf numFmtId="165" fontId="6" fillId="0" borderId="1" xfId="0" applyNumberFormat="1" applyFont="1" applyBorder="1" applyAlignment="1">
      <alignment horizontal="right" vertical="center" wrapText="1"/>
    </xf>
    <xf numFmtId="0" fontId="7" fillId="0" borderId="0" xfId="0" applyFont="1"/>
    <xf numFmtId="0" fontId="4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165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9" fillId="0" borderId="2" xfId="0" applyFont="1" applyBorder="1"/>
    <xf numFmtId="10" fontId="0" fillId="0" borderId="2" xfId="2" applyNumberFormat="1" applyFont="1" applyBorder="1"/>
    <xf numFmtId="3" fontId="4" fillId="3" borderId="1" xfId="0" applyNumberFormat="1" applyFont="1" applyFill="1" applyBorder="1" applyAlignment="1">
      <alignment horizontal="right" vertical="center" wrapText="1"/>
    </xf>
    <xf numFmtId="10" fontId="4" fillId="3" borderId="1" xfId="0" applyNumberFormat="1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170" fontId="6" fillId="0" borderId="1" xfId="1" applyNumberFormat="1" applyFont="1" applyBorder="1" applyAlignment="1">
      <alignment horizontal="right" vertical="center" wrapText="1"/>
    </xf>
    <xf numFmtId="171" fontId="6" fillId="0" borderId="1" xfId="0" applyNumberFormat="1" applyFont="1" applyBorder="1" applyAlignment="1">
      <alignment horizontal="right" vertical="center" wrapText="1"/>
    </xf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showGridLines="0" workbookViewId="0">
      <selection activeCell="E22" sqref="E22"/>
    </sheetView>
  </sheetViews>
  <sheetFormatPr baseColWidth="10" defaultColWidth="9.140625" defaultRowHeight="15" x14ac:dyDescent="0.25"/>
  <cols>
    <col min="1" max="2" width="34" customWidth="1"/>
    <col min="3" max="3" width="3" customWidth="1"/>
    <col min="4" max="4" width="30" customWidth="1"/>
    <col min="5" max="5" width="16" customWidth="1"/>
  </cols>
  <sheetData>
    <row r="1" spans="1:5" ht="21" x14ac:dyDescent="0.35">
      <c r="A1" s="1" t="s">
        <v>0</v>
      </c>
    </row>
    <row r="2" spans="1:5" x14ac:dyDescent="0.25">
      <c r="A2" s="2" t="s">
        <v>1</v>
      </c>
    </row>
    <row r="4" spans="1:5" x14ac:dyDescent="0.25">
      <c r="A4" s="3" t="s">
        <v>2</v>
      </c>
      <c r="B4" s="4"/>
      <c r="D4" s="5" t="s">
        <v>3</v>
      </c>
    </row>
    <row r="5" spans="1:5" x14ac:dyDescent="0.25">
      <c r="A5" s="4" t="s">
        <v>4</v>
      </c>
      <c r="B5" s="6" t="s">
        <v>5</v>
      </c>
      <c r="D5" s="3" t="s">
        <v>6</v>
      </c>
      <c r="E5" s="7" t="s">
        <v>7</v>
      </c>
    </row>
    <row r="6" spans="1:5" x14ac:dyDescent="0.25">
      <c r="A6" s="4" t="s">
        <v>8</v>
      </c>
      <c r="B6" s="6" t="s">
        <v>9</v>
      </c>
      <c r="D6" s="4" t="s">
        <v>10</v>
      </c>
      <c r="E6" s="8">
        <v>8.8900000000000007E-2</v>
      </c>
    </row>
    <row r="7" spans="1:5" x14ac:dyDescent="0.25">
      <c r="A7" s="4" t="s">
        <v>11</v>
      </c>
      <c r="B7" s="6" t="s">
        <v>77</v>
      </c>
      <c r="D7" s="4" t="s">
        <v>13</v>
      </c>
      <c r="E7" s="8">
        <v>0</v>
      </c>
    </row>
    <row r="8" spans="1:5" x14ac:dyDescent="0.25">
      <c r="A8" s="4"/>
      <c r="B8" s="4"/>
      <c r="D8" s="4" t="s">
        <v>14</v>
      </c>
      <c r="E8" s="8">
        <v>0</v>
      </c>
    </row>
    <row r="9" spans="1:5" x14ac:dyDescent="0.25">
      <c r="A9" s="3" t="s">
        <v>15</v>
      </c>
      <c r="B9" s="4"/>
      <c r="D9" s="4" t="s">
        <v>16</v>
      </c>
      <c r="E9" s="8">
        <v>0</v>
      </c>
    </row>
    <row r="10" spans="1:5" x14ac:dyDescent="0.25">
      <c r="A10" s="4" t="s">
        <v>17</v>
      </c>
      <c r="B10" s="9">
        <v>0.19</v>
      </c>
    </row>
    <row r="11" spans="1:5" x14ac:dyDescent="0.25">
      <c r="A11" s="4" t="s">
        <v>18</v>
      </c>
      <c r="B11" s="9">
        <v>0.19</v>
      </c>
      <c r="D11" s="3" t="s">
        <v>19</v>
      </c>
      <c r="E11" s="4"/>
    </row>
    <row r="12" spans="1:5" ht="45" x14ac:dyDescent="0.25">
      <c r="A12" s="4" t="s">
        <v>20</v>
      </c>
      <c r="B12" s="10" t="s">
        <v>21</v>
      </c>
      <c r="D12" s="4" t="s">
        <v>22</v>
      </c>
      <c r="E12" s="6" t="s">
        <v>23</v>
      </c>
    </row>
    <row r="13" spans="1:5" ht="30" x14ac:dyDescent="0.25">
      <c r="A13" s="4"/>
      <c r="B13" s="4"/>
      <c r="D13" s="4" t="s">
        <v>24</v>
      </c>
      <c r="E13" s="6" t="s">
        <v>10</v>
      </c>
    </row>
    <row r="14" spans="1:5" x14ac:dyDescent="0.25">
      <c r="A14" s="3" t="s">
        <v>25</v>
      </c>
      <c r="B14" s="4"/>
    </row>
    <row r="15" spans="1:5" ht="30" x14ac:dyDescent="0.25">
      <c r="A15" s="4" t="s">
        <v>26</v>
      </c>
      <c r="B15" s="11">
        <v>5.0000000000000001E-3</v>
      </c>
      <c r="D15" s="24" t="s">
        <v>101</v>
      </c>
      <c r="E15" s="23"/>
    </row>
    <row r="16" spans="1:5" ht="30" x14ac:dyDescent="0.25">
      <c r="A16" s="4" t="s">
        <v>27</v>
      </c>
      <c r="B16" s="11">
        <v>5.0000000000000001E-3</v>
      </c>
      <c r="D16" s="23" t="s">
        <v>102</v>
      </c>
      <c r="E16" s="25">
        <v>0.3</v>
      </c>
    </row>
    <row r="17" spans="1:2" ht="30" x14ac:dyDescent="0.25">
      <c r="A17" s="4" t="s">
        <v>28</v>
      </c>
      <c r="B17" s="11">
        <v>1E-3</v>
      </c>
    </row>
    <row r="18" spans="1:2" x14ac:dyDescent="0.25">
      <c r="A18" s="4"/>
      <c r="B18" s="4"/>
    </row>
    <row r="19" spans="1:2" x14ac:dyDescent="0.25">
      <c r="A19" s="3" t="s">
        <v>29</v>
      </c>
      <c r="B19" s="4"/>
    </row>
    <row r="20" spans="1:2" x14ac:dyDescent="0.25">
      <c r="A20" s="4" t="s">
        <v>30</v>
      </c>
      <c r="B20" s="6" t="s">
        <v>31</v>
      </c>
    </row>
    <row r="21" spans="1:2" x14ac:dyDescent="0.25">
      <c r="A21" s="4" t="s">
        <v>32</v>
      </c>
      <c r="B21" s="11">
        <v>1.4999999999999999E-2</v>
      </c>
    </row>
    <row r="22" spans="1:2" ht="30" x14ac:dyDescent="0.25">
      <c r="A22" s="4" t="s">
        <v>33</v>
      </c>
      <c r="B22" s="12">
        <v>1000</v>
      </c>
    </row>
  </sheetData>
  <dataValidations count="2">
    <dataValidation type="list" sqref="B20 E12" xr:uid="{00000000-0002-0000-0000-000000000000}">
      <formula1>"Yes,No"</formula1>
    </dataValidation>
    <dataValidation type="list" sqref="E13" xr:uid="{00000000-0002-0000-0000-000001000000}">
      <formula1>"Marketing,Utility,Authentication,Service"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1"/>
  <sheetViews>
    <sheetView showGridLines="0" topLeftCell="L1" workbookViewId="0">
      <pane ySplit="1" topLeftCell="A2" activePane="bottomLeft" state="frozen"/>
      <selection pane="bottomLeft" activeCell="V3" sqref="V3:AA3"/>
    </sheetView>
  </sheetViews>
  <sheetFormatPr baseColWidth="10" defaultColWidth="9.140625" defaultRowHeight="15" x14ac:dyDescent="0.25"/>
  <cols>
    <col min="1" max="1" width="12" customWidth="1"/>
    <col min="2" max="2" width="22" customWidth="1"/>
    <col min="3" max="3" width="12" customWidth="1"/>
    <col min="4" max="4" width="16" customWidth="1"/>
    <col min="5" max="5" width="20" customWidth="1"/>
    <col min="6" max="7" width="16" customWidth="1"/>
    <col min="8" max="9" width="22" customWidth="1"/>
    <col min="10" max="10" width="16" customWidth="1"/>
    <col min="11" max="11" width="22" customWidth="1"/>
    <col min="12" max="13" width="16" customWidth="1"/>
    <col min="14" max="14" width="22" customWidth="1"/>
    <col min="15" max="28" width="16" customWidth="1"/>
  </cols>
  <sheetData>
    <row r="1" spans="1:28" ht="45" x14ac:dyDescent="0.25">
      <c r="A1" s="13" t="s">
        <v>34</v>
      </c>
      <c r="B1" s="13" t="s">
        <v>35</v>
      </c>
      <c r="C1" s="13" t="s">
        <v>36</v>
      </c>
      <c r="D1" s="13" t="s">
        <v>37</v>
      </c>
      <c r="E1" s="13" t="s">
        <v>38</v>
      </c>
      <c r="F1" s="13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44</v>
      </c>
      <c r="L1" s="13" t="s">
        <v>45</v>
      </c>
      <c r="M1" s="13" t="s">
        <v>46</v>
      </c>
      <c r="N1" s="13" t="s">
        <v>47</v>
      </c>
      <c r="O1" s="13" t="s">
        <v>48</v>
      </c>
      <c r="P1" s="13" t="s">
        <v>49</v>
      </c>
      <c r="Q1" s="13" t="s">
        <v>50</v>
      </c>
      <c r="R1" s="13" t="s">
        <v>51</v>
      </c>
      <c r="S1" s="13" t="s">
        <v>52</v>
      </c>
      <c r="T1" s="13" t="s">
        <v>53</v>
      </c>
      <c r="U1" s="13" t="s">
        <v>54</v>
      </c>
      <c r="V1" s="13" t="s">
        <v>55</v>
      </c>
      <c r="W1" s="13" t="s">
        <v>56</v>
      </c>
      <c r="X1" s="13" t="s">
        <v>57</v>
      </c>
      <c r="Y1" s="13" t="s">
        <v>58</v>
      </c>
      <c r="Z1" s="13" t="s">
        <v>59</v>
      </c>
      <c r="AA1" s="13" t="s">
        <v>60</v>
      </c>
      <c r="AB1" s="13" t="s">
        <v>61</v>
      </c>
    </row>
    <row r="2" spans="1:28" x14ac:dyDescent="0.25">
      <c r="A2">
        <v>1</v>
      </c>
      <c r="B2" s="6" t="s">
        <v>103</v>
      </c>
      <c r="C2" s="6" t="str">
        <f>'Inputs &amp; Settings'!B7</f>
        <v>2026-02</v>
      </c>
      <c r="D2" s="6" t="s">
        <v>10</v>
      </c>
      <c r="E2" s="14"/>
      <c r="F2" s="15">
        <v>0.04</v>
      </c>
      <c r="G2" s="15">
        <v>0.12</v>
      </c>
      <c r="H2" s="16">
        <v>1</v>
      </c>
      <c r="I2" s="16">
        <v>1</v>
      </c>
      <c r="J2" s="15">
        <v>0</v>
      </c>
      <c r="K2" s="6" t="str">
        <f>'Inputs &amp; Settings'!E13</f>
        <v>Marketing</v>
      </c>
      <c r="L2" s="6" t="str">
        <f>'Inputs &amp; Settings'!B20</f>
        <v>No</v>
      </c>
      <c r="M2" s="15">
        <v>0</v>
      </c>
      <c r="N2" s="6"/>
      <c r="O2" s="17">
        <f t="shared" ref="O2:O21" si="0">ROUND(E2*(1-F2),0)</f>
        <v>0</v>
      </c>
      <c r="P2" s="17">
        <f t="shared" ref="P2:P21" si="1">E2-O2</f>
        <v>0</v>
      </c>
      <c r="Q2" s="17">
        <f t="shared" ref="Q2:Q21" si="2">ROUND(O2*G2,0)</f>
        <v>0</v>
      </c>
      <c r="R2" s="17">
        <f t="shared" ref="R2:R21" si="3">ROUND(Q2*H2,0)</f>
        <v>0</v>
      </c>
      <c r="S2" s="17">
        <f t="shared" ref="S2:S21" si="4">ROUND(Q2*I2,0)</f>
        <v>0</v>
      </c>
      <c r="T2" s="17">
        <f t="shared" ref="T2:T21" si="5">ROUND(S2*J2,0)</f>
        <v>0</v>
      </c>
      <c r="U2" s="17">
        <f t="shared" ref="U2:U21" si="6">S2-T2</f>
        <v>0</v>
      </c>
      <c r="V2" s="18">
        <f>O2*IFERROR(VLOOKUP(D2,'Inputs &amp; Settings'!D6:E9,2,FALSE),0)</f>
        <v>0</v>
      </c>
      <c r="W2" s="18">
        <f>T2*IFERROR(VLOOKUP(K2,'Inputs &amp; Settings'!D6:E9,2,FALSE),0)</f>
        <v>0</v>
      </c>
      <c r="X2" s="18">
        <f>O2*'Inputs &amp; Settings'!B15</f>
        <v>0</v>
      </c>
      <c r="Y2" s="18">
        <f>R2*'Inputs &amp; Settings'!B16</f>
        <v>0</v>
      </c>
      <c r="Z2" s="18">
        <f>S2*'Inputs &amp; Settings'!B15</f>
        <v>0</v>
      </c>
      <c r="AA2" s="18">
        <f>P2*'Inputs &amp; Settings'!B17</f>
        <v>0</v>
      </c>
      <c r="AB2" s="17">
        <f t="shared" ref="AB2:AB21" si="7">IF(L2="Yes",ROUND((O2+S2)*M2,0),0)</f>
        <v>0</v>
      </c>
    </row>
    <row r="3" spans="1:28" x14ac:dyDescent="0.25">
      <c r="A3">
        <v>2</v>
      </c>
      <c r="B3" s="6" t="s">
        <v>104</v>
      </c>
      <c r="C3" s="6" t="str">
        <f>'Inputs &amp; Settings'!B7</f>
        <v>2026-02</v>
      </c>
      <c r="D3" s="6" t="s">
        <v>10</v>
      </c>
      <c r="E3" s="26">
        <v>3000</v>
      </c>
      <c r="F3" s="27">
        <v>0.05</v>
      </c>
      <c r="G3" s="27">
        <v>0.12</v>
      </c>
      <c r="H3" s="16">
        <v>1</v>
      </c>
      <c r="I3" s="16">
        <v>1</v>
      </c>
      <c r="J3" s="15">
        <v>0</v>
      </c>
      <c r="K3" s="6" t="str">
        <f>'Inputs &amp; Settings'!E13</f>
        <v>Marketing</v>
      </c>
      <c r="L3" s="6" t="str">
        <f>'Inputs &amp; Settings'!B20</f>
        <v>No</v>
      </c>
      <c r="M3" s="15">
        <v>0</v>
      </c>
      <c r="N3" s="6"/>
      <c r="O3" s="17">
        <f t="shared" si="0"/>
        <v>2850</v>
      </c>
      <c r="P3" s="17">
        <f t="shared" si="1"/>
        <v>150</v>
      </c>
      <c r="Q3" s="17">
        <f t="shared" si="2"/>
        <v>342</v>
      </c>
      <c r="R3" s="17">
        <f t="shared" si="3"/>
        <v>342</v>
      </c>
      <c r="S3" s="17">
        <f t="shared" si="4"/>
        <v>342</v>
      </c>
      <c r="T3" s="17">
        <f t="shared" si="5"/>
        <v>0</v>
      </c>
      <c r="U3" s="17">
        <f t="shared" si="6"/>
        <v>342</v>
      </c>
      <c r="V3" s="18">
        <f>O3*IFERROR(VLOOKUP(D3,'Inputs &amp; Settings'!D6:E9,2,FALSE),0)</f>
        <v>253.36500000000001</v>
      </c>
      <c r="W3" s="18">
        <f>T3*IFERROR(VLOOKUP(K3,'Inputs &amp; Settings'!D6:E9,2,FALSE),0)</f>
        <v>0</v>
      </c>
      <c r="X3" s="18">
        <f>O3*'Inputs &amp; Settings'!B15</f>
        <v>14.25</v>
      </c>
      <c r="Y3" s="18">
        <f>R3*'Inputs &amp; Settings'!B16</f>
        <v>1.71</v>
      </c>
      <c r="Z3" s="18">
        <f>S3*'Inputs &amp; Settings'!B15</f>
        <v>1.71</v>
      </c>
      <c r="AA3" s="18">
        <f>P3*'Inputs &amp; Settings'!B17</f>
        <v>0.15</v>
      </c>
      <c r="AB3" s="17">
        <f t="shared" si="7"/>
        <v>0</v>
      </c>
    </row>
    <row r="4" spans="1:28" x14ac:dyDescent="0.25">
      <c r="A4">
        <v>3</v>
      </c>
      <c r="B4" s="6"/>
      <c r="C4" s="6" t="str">
        <f>'Inputs &amp; Settings'!B7</f>
        <v>2026-02</v>
      </c>
      <c r="D4" s="6" t="s">
        <v>10</v>
      </c>
      <c r="E4" s="14">
        <v>0</v>
      </c>
      <c r="F4" s="15">
        <v>0</v>
      </c>
      <c r="G4" s="15">
        <v>0</v>
      </c>
      <c r="H4" s="16">
        <v>1</v>
      </c>
      <c r="I4" s="16">
        <v>1</v>
      </c>
      <c r="J4" s="15">
        <v>0</v>
      </c>
      <c r="K4" s="6" t="str">
        <f>'Inputs &amp; Settings'!E13</f>
        <v>Marketing</v>
      </c>
      <c r="L4" s="6" t="str">
        <f>'Inputs &amp; Settings'!B20</f>
        <v>No</v>
      </c>
      <c r="M4" s="15">
        <v>0</v>
      </c>
      <c r="N4" s="6"/>
      <c r="O4" s="17">
        <f t="shared" si="0"/>
        <v>0</v>
      </c>
      <c r="P4" s="17">
        <f t="shared" si="1"/>
        <v>0</v>
      </c>
      <c r="Q4" s="17">
        <f t="shared" si="2"/>
        <v>0</v>
      </c>
      <c r="R4" s="17">
        <f t="shared" si="3"/>
        <v>0</v>
      </c>
      <c r="S4" s="17">
        <f t="shared" si="4"/>
        <v>0</v>
      </c>
      <c r="T4" s="17">
        <f t="shared" si="5"/>
        <v>0</v>
      </c>
      <c r="U4" s="17">
        <f t="shared" si="6"/>
        <v>0</v>
      </c>
      <c r="V4" s="18">
        <f>O4*IFERROR(VLOOKUP(D4,'Inputs &amp; Settings'!D6:E9,2,FALSE),0)</f>
        <v>0</v>
      </c>
      <c r="W4" s="18">
        <f>T4*IFERROR(VLOOKUP(K4,'Inputs &amp; Settings'!D6:E9,2,FALSE),0)</f>
        <v>0</v>
      </c>
      <c r="X4" s="18">
        <f>O4*'Inputs &amp; Settings'!B15</f>
        <v>0</v>
      </c>
      <c r="Y4" s="18">
        <f>R4*'Inputs &amp; Settings'!B16</f>
        <v>0</v>
      </c>
      <c r="Z4" s="18">
        <f>S4*'Inputs &amp; Settings'!B15</f>
        <v>0</v>
      </c>
      <c r="AA4" s="18">
        <f>P4*'Inputs &amp; Settings'!B17</f>
        <v>0</v>
      </c>
      <c r="AB4" s="17">
        <f t="shared" si="7"/>
        <v>0</v>
      </c>
    </row>
    <row r="5" spans="1:28" x14ac:dyDescent="0.25">
      <c r="A5">
        <v>4</v>
      </c>
      <c r="B5" s="6"/>
      <c r="C5" s="6" t="str">
        <f>'Inputs &amp; Settings'!B7</f>
        <v>2026-02</v>
      </c>
      <c r="D5" s="6" t="s">
        <v>10</v>
      </c>
      <c r="E5" s="14">
        <v>0</v>
      </c>
      <c r="F5" s="15">
        <v>0</v>
      </c>
      <c r="G5" s="15">
        <v>0</v>
      </c>
      <c r="H5" s="16">
        <v>1</v>
      </c>
      <c r="I5" s="16">
        <v>1</v>
      </c>
      <c r="J5" s="15">
        <v>0</v>
      </c>
      <c r="K5" s="6" t="str">
        <f>'Inputs &amp; Settings'!E13</f>
        <v>Marketing</v>
      </c>
      <c r="L5" s="6" t="str">
        <f>'Inputs &amp; Settings'!B20</f>
        <v>No</v>
      </c>
      <c r="M5" s="15">
        <v>0</v>
      </c>
      <c r="N5" s="6"/>
      <c r="O5" s="17">
        <f t="shared" si="0"/>
        <v>0</v>
      </c>
      <c r="P5" s="17">
        <f t="shared" si="1"/>
        <v>0</v>
      </c>
      <c r="Q5" s="17">
        <f t="shared" si="2"/>
        <v>0</v>
      </c>
      <c r="R5" s="17">
        <f t="shared" si="3"/>
        <v>0</v>
      </c>
      <c r="S5" s="17">
        <f t="shared" si="4"/>
        <v>0</v>
      </c>
      <c r="T5" s="17">
        <f t="shared" si="5"/>
        <v>0</v>
      </c>
      <c r="U5" s="17">
        <f t="shared" si="6"/>
        <v>0</v>
      </c>
      <c r="V5" s="18">
        <f>O5*IFERROR(VLOOKUP(D5,'Inputs &amp; Settings'!D6:E9,2,FALSE),0)</f>
        <v>0</v>
      </c>
      <c r="W5" s="18">
        <f>T5*IFERROR(VLOOKUP(K5,'Inputs &amp; Settings'!D6:E9,2,FALSE),0)</f>
        <v>0</v>
      </c>
      <c r="X5" s="18">
        <f>O5*'Inputs &amp; Settings'!B15</f>
        <v>0</v>
      </c>
      <c r="Y5" s="18">
        <f>R5*'Inputs &amp; Settings'!B16</f>
        <v>0</v>
      </c>
      <c r="Z5" s="18">
        <f>S5*'Inputs &amp; Settings'!B15</f>
        <v>0</v>
      </c>
      <c r="AA5" s="18">
        <f>P5*'Inputs &amp; Settings'!B17</f>
        <v>0</v>
      </c>
      <c r="AB5" s="17">
        <f t="shared" si="7"/>
        <v>0</v>
      </c>
    </row>
    <row r="6" spans="1:28" x14ac:dyDescent="0.25">
      <c r="A6">
        <v>5</v>
      </c>
      <c r="B6" s="6"/>
      <c r="C6" s="6" t="str">
        <f>'Inputs &amp; Settings'!B7</f>
        <v>2026-02</v>
      </c>
      <c r="D6" s="6" t="s">
        <v>10</v>
      </c>
      <c r="E6" s="14">
        <v>0</v>
      </c>
      <c r="F6" s="15">
        <v>0</v>
      </c>
      <c r="G6" s="15">
        <v>0</v>
      </c>
      <c r="H6" s="16">
        <v>1</v>
      </c>
      <c r="I6" s="16">
        <v>1</v>
      </c>
      <c r="J6" s="15">
        <v>0</v>
      </c>
      <c r="K6" s="6" t="str">
        <f>'Inputs &amp; Settings'!E13</f>
        <v>Marketing</v>
      </c>
      <c r="L6" s="6" t="str">
        <f>'Inputs &amp; Settings'!B20</f>
        <v>No</v>
      </c>
      <c r="M6" s="15">
        <v>0</v>
      </c>
      <c r="N6" s="6"/>
      <c r="O6" s="17">
        <f t="shared" si="0"/>
        <v>0</v>
      </c>
      <c r="P6" s="17">
        <f t="shared" si="1"/>
        <v>0</v>
      </c>
      <c r="Q6" s="17">
        <f t="shared" si="2"/>
        <v>0</v>
      </c>
      <c r="R6" s="17">
        <f t="shared" si="3"/>
        <v>0</v>
      </c>
      <c r="S6" s="17">
        <f t="shared" si="4"/>
        <v>0</v>
      </c>
      <c r="T6" s="17">
        <f t="shared" si="5"/>
        <v>0</v>
      </c>
      <c r="U6" s="17">
        <f t="shared" si="6"/>
        <v>0</v>
      </c>
      <c r="V6" s="18">
        <f>O6*IFERROR(VLOOKUP(D6,'Inputs &amp; Settings'!D6:E9,2,FALSE),0)</f>
        <v>0</v>
      </c>
      <c r="W6" s="18">
        <f>T6*IFERROR(VLOOKUP(K6,'Inputs &amp; Settings'!D6:E9,2,FALSE),0)</f>
        <v>0</v>
      </c>
      <c r="X6" s="18">
        <f>O6*'Inputs &amp; Settings'!B15</f>
        <v>0</v>
      </c>
      <c r="Y6" s="18">
        <f>R6*'Inputs &amp; Settings'!B16</f>
        <v>0</v>
      </c>
      <c r="Z6" s="18">
        <f>S6*'Inputs &amp; Settings'!B15</f>
        <v>0</v>
      </c>
      <c r="AA6" s="18">
        <f>P6*'Inputs &amp; Settings'!B17</f>
        <v>0</v>
      </c>
      <c r="AB6" s="17">
        <f t="shared" si="7"/>
        <v>0</v>
      </c>
    </row>
    <row r="7" spans="1:28" x14ac:dyDescent="0.25">
      <c r="A7">
        <v>6</v>
      </c>
      <c r="B7" s="6"/>
      <c r="C7" s="6" t="str">
        <f>'Inputs &amp; Settings'!B7</f>
        <v>2026-02</v>
      </c>
      <c r="D7" s="6" t="s">
        <v>10</v>
      </c>
      <c r="E7" s="14">
        <v>0</v>
      </c>
      <c r="F7" s="15">
        <v>0</v>
      </c>
      <c r="G7" s="15">
        <v>0</v>
      </c>
      <c r="H7" s="16">
        <v>1</v>
      </c>
      <c r="I7" s="16">
        <v>1</v>
      </c>
      <c r="J7" s="15">
        <v>0</v>
      </c>
      <c r="K7" s="6" t="str">
        <f>'Inputs &amp; Settings'!E13</f>
        <v>Marketing</v>
      </c>
      <c r="L7" s="6" t="str">
        <f>'Inputs &amp; Settings'!B20</f>
        <v>No</v>
      </c>
      <c r="M7" s="15">
        <v>0</v>
      </c>
      <c r="N7" s="6"/>
      <c r="O7" s="17">
        <f t="shared" si="0"/>
        <v>0</v>
      </c>
      <c r="P7" s="17">
        <f t="shared" si="1"/>
        <v>0</v>
      </c>
      <c r="Q7" s="17">
        <f t="shared" si="2"/>
        <v>0</v>
      </c>
      <c r="R7" s="17">
        <f t="shared" si="3"/>
        <v>0</v>
      </c>
      <c r="S7" s="17">
        <f t="shared" si="4"/>
        <v>0</v>
      </c>
      <c r="T7" s="17">
        <f t="shared" si="5"/>
        <v>0</v>
      </c>
      <c r="U7" s="17">
        <f t="shared" si="6"/>
        <v>0</v>
      </c>
      <c r="V7" s="18">
        <f>O7*IFERROR(VLOOKUP(D7,'Inputs &amp; Settings'!D6:E9,2,FALSE),0)</f>
        <v>0</v>
      </c>
      <c r="W7" s="18">
        <f>T7*IFERROR(VLOOKUP(K7,'Inputs &amp; Settings'!D6:E9,2,FALSE),0)</f>
        <v>0</v>
      </c>
      <c r="X7" s="18">
        <f>O7*'Inputs &amp; Settings'!B15</f>
        <v>0</v>
      </c>
      <c r="Y7" s="18">
        <f>R7*'Inputs &amp; Settings'!B16</f>
        <v>0</v>
      </c>
      <c r="Z7" s="18">
        <f>S7*'Inputs &amp; Settings'!B15</f>
        <v>0</v>
      </c>
      <c r="AA7" s="18">
        <f>P7*'Inputs &amp; Settings'!B17</f>
        <v>0</v>
      </c>
      <c r="AB7" s="17">
        <f t="shared" si="7"/>
        <v>0</v>
      </c>
    </row>
    <row r="8" spans="1:28" x14ac:dyDescent="0.25">
      <c r="A8">
        <v>7</v>
      </c>
      <c r="B8" s="6"/>
      <c r="C8" s="6" t="str">
        <f>'Inputs &amp; Settings'!B7</f>
        <v>2026-02</v>
      </c>
      <c r="D8" s="6" t="s">
        <v>10</v>
      </c>
      <c r="E8" s="14">
        <v>0</v>
      </c>
      <c r="F8" s="15">
        <v>0</v>
      </c>
      <c r="G8" s="15">
        <v>0</v>
      </c>
      <c r="H8" s="16">
        <v>1</v>
      </c>
      <c r="I8" s="16">
        <v>1</v>
      </c>
      <c r="J8" s="15">
        <v>0</v>
      </c>
      <c r="K8" s="6" t="str">
        <f>'Inputs &amp; Settings'!E13</f>
        <v>Marketing</v>
      </c>
      <c r="L8" s="6" t="str">
        <f>'Inputs &amp; Settings'!B20</f>
        <v>No</v>
      </c>
      <c r="M8" s="15">
        <v>0</v>
      </c>
      <c r="N8" s="6"/>
      <c r="O8" s="17">
        <f t="shared" si="0"/>
        <v>0</v>
      </c>
      <c r="P8" s="17">
        <f t="shared" si="1"/>
        <v>0</v>
      </c>
      <c r="Q8" s="17">
        <f t="shared" si="2"/>
        <v>0</v>
      </c>
      <c r="R8" s="17">
        <f t="shared" si="3"/>
        <v>0</v>
      </c>
      <c r="S8" s="17">
        <f t="shared" si="4"/>
        <v>0</v>
      </c>
      <c r="T8" s="17">
        <f t="shared" si="5"/>
        <v>0</v>
      </c>
      <c r="U8" s="17">
        <f t="shared" si="6"/>
        <v>0</v>
      </c>
      <c r="V8" s="18">
        <f>O8*IFERROR(VLOOKUP(D8,'Inputs &amp; Settings'!D6:E9,2,FALSE),0)</f>
        <v>0</v>
      </c>
      <c r="W8" s="18">
        <f>T8*IFERROR(VLOOKUP(K8,'Inputs &amp; Settings'!D6:E9,2,FALSE),0)</f>
        <v>0</v>
      </c>
      <c r="X8" s="18">
        <f>O8*'Inputs &amp; Settings'!B15</f>
        <v>0</v>
      </c>
      <c r="Y8" s="18">
        <f>R8*'Inputs &amp; Settings'!B16</f>
        <v>0</v>
      </c>
      <c r="Z8" s="18">
        <f>S8*'Inputs &amp; Settings'!B15</f>
        <v>0</v>
      </c>
      <c r="AA8" s="18">
        <f>P8*'Inputs &amp; Settings'!B17</f>
        <v>0</v>
      </c>
      <c r="AB8" s="17">
        <f t="shared" si="7"/>
        <v>0</v>
      </c>
    </row>
    <row r="9" spans="1:28" x14ac:dyDescent="0.25">
      <c r="A9">
        <v>8</v>
      </c>
      <c r="B9" s="6"/>
      <c r="C9" s="6" t="str">
        <f>'Inputs &amp; Settings'!B7</f>
        <v>2026-02</v>
      </c>
      <c r="D9" s="6" t="s">
        <v>10</v>
      </c>
      <c r="E9" s="14">
        <v>0</v>
      </c>
      <c r="F9" s="15">
        <v>0</v>
      </c>
      <c r="G9" s="15">
        <v>0</v>
      </c>
      <c r="H9" s="16">
        <v>1</v>
      </c>
      <c r="I9" s="16">
        <v>1</v>
      </c>
      <c r="J9" s="15">
        <v>0</v>
      </c>
      <c r="K9" s="6" t="str">
        <f>'Inputs &amp; Settings'!E13</f>
        <v>Marketing</v>
      </c>
      <c r="L9" s="6" t="str">
        <f>'Inputs &amp; Settings'!B20</f>
        <v>No</v>
      </c>
      <c r="M9" s="15">
        <v>0</v>
      </c>
      <c r="N9" s="6"/>
      <c r="O9" s="17">
        <f t="shared" si="0"/>
        <v>0</v>
      </c>
      <c r="P9" s="17">
        <f t="shared" si="1"/>
        <v>0</v>
      </c>
      <c r="Q9" s="17">
        <f t="shared" si="2"/>
        <v>0</v>
      </c>
      <c r="R9" s="17">
        <f t="shared" si="3"/>
        <v>0</v>
      </c>
      <c r="S9" s="17">
        <f t="shared" si="4"/>
        <v>0</v>
      </c>
      <c r="T9" s="17">
        <f t="shared" si="5"/>
        <v>0</v>
      </c>
      <c r="U9" s="17">
        <f t="shared" si="6"/>
        <v>0</v>
      </c>
      <c r="V9" s="18">
        <f>O9*IFERROR(VLOOKUP(D9,'Inputs &amp; Settings'!D6:E9,2,FALSE),0)</f>
        <v>0</v>
      </c>
      <c r="W9" s="18">
        <f>T9*IFERROR(VLOOKUP(K9,'Inputs &amp; Settings'!D6:E9,2,FALSE),0)</f>
        <v>0</v>
      </c>
      <c r="X9" s="18">
        <f>O9*'Inputs &amp; Settings'!B15</f>
        <v>0</v>
      </c>
      <c r="Y9" s="18">
        <f>R9*'Inputs &amp; Settings'!B16</f>
        <v>0</v>
      </c>
      <c r="Z9" s="18">
        <f>S9*'Inputs &amp; Settings'!B15</f>
        <v>0</v>
      </c>
      <c r="AA9" s="18">
        <f>P9*'Inputs &amp; Settings'!B17</f>
        <v>0</v>
      </c>
      <c r="AB9" s="17">
        <f t="shared" si="7"/>
        <v>0</v>
      </c>
    </row>
    <row r="10" spans="1:28" x14ac:dyDescent="0.25">
      <c r="A10">
        <v>9</v>
      </c>
      <c r="B10" s="6"/>
      <c r="C10" s="6" t="str">
        <f>'Inputs &amp; Settings'!B7</f>
        <v>2026-02</v>
      </c>
      <c r="D10" s="6" t="s">
        <v>10</v>
      </c>
      <c r="E10" s="14">
        <v>0</v>
      </c>
      <c r="F10" s="15">
        <v>0</v>
      </c>
      <c r="G10" s="15">
        <v>0</v>
      </c>
      <c r="H10" s="16">
        <v>1</v>
      </c>
      <c r="I10" s="16">
        <v>1</v>
      </c>
      <c r="J10" s="15">
        <v>0</v>
      </c>
      <c r="K10" s="6" t="str">
        <f>'Inputs &amp; Settings'!E13</f>
        <v>Marketing</v>
      </c>
      <c r="L10" s="6" t="str">
        <f>'Inputs &amp; Settings'!B20</f>
        <v>No</v>
      </c>
      <c r="M10" s="15">
        <v>0</v>
      </c>
      <c r="N10" s="6"/>
      <c r="O10" s="17">
        <f t="shared" si="0"/>
        <v>0</v>
      </c>
      <c r="P10" s="17">
        <f t="shared" si="1"/>
        <v>0</v>
      </c>
      <c r="Q10" s="17">
        <f t="shared" si="2"/>
        <v>0</v>
      </c>
      <c r="R10" s="17">
        <f t="shared" si="3"/>
        <v>0</v>
      </c>
      <c r="S10" s="17">
        <f t="shared" si="4"/>
        <v>0</v>
      </c>
      <c r="T10" s="17">
        <f t="shared" si="5"/>
        <v>0</v>
      </c>
      <c r="U10" s="17">
        <f t="shared" si="6"/>
        <v>0</v>
      </c>
      <c r="V10" s="18">
        <f>O10*IFERROR(VLOOKUP(D10,'Inputs &amp; Settings'!D6:E9,2,FALSE),0)</f>
        <v>0</v>
      </c>
      <c r="W10" s="18">
        <f>T10*IFERROR(VLOOKUP(K10,'Inputs &amp; Settings'!D6:E9,2,FALSE),0)</f>
        <v>0</v>
      </c>
      <c r="X10" s="18">
        <f>O10*'Inputs &amp; Settings'!B15</f>
        <v>0</v>
      </c>
      <c r="Y10" s="18">
        <f>R10*'Inputs &amp; Settings'!B16</f>
        <v>0</v>
      </c>
      <c r="Z10" s="18">
        <f>S10*'Inputs &amp; Settings'!B15</f>
        <v>0</v>
      </c>
      <c r="AA10" s="18">
        <f>P10*'Inputs &amp; Settings'!B17</f>
        <v>0</v>
      </c>
      <c r="AB10" s="17">
        <f t="shared" si="7"/>
        <v>0</v>
      </c>
    </row>
    <row r="11" spans="1:28" x14ac:dyDescent="0.25">
      <c r="A11">
        <v>10</v>
      </c>
      <c r="B11" s="6"/>
      <c r="C11" s="6" t="str">
        <f>'Inputs &amp; Settings'!B7</f>
        <v>2026-02</v>
      </c>
      <c r="D11" s="6" t="s">
        <v>10</v>
      </c>
      <c r="E11" s="14">
        <v>0</v>
      </c>
      <c r="F11" s="15">
        <v>0</v>
      </c>
      <c r="G11" s="15">
        <v>0</v>
      </c>
      <c r="H11" s="16">
        <v>1</v>
      </c>
      <c r="I11" s="16">
        <v>1</v>
      </c>
      <c r="J11" s="15">
        <v>0</v>
      </c>
      <c r="K11" s="6" t="str">
        <f>'Inputs &amp; Settings'!E13</f>
        <v>Marketing</v>
      </c>
      <c r="L11" s="6" t="str">
        <f>'Inputs &amp; Settings'!B20</f>
        <v>No</v>
      </c>
      <c r="M11" s="15">
        <v>0</v>
      </c>
      <c r="N11" s="6"/>
      <c r="O11" s="17">
        <f t="shared" si="0"/>
        <v>0</v>
      </c>
      <c r="P11" s="17">
        <f t="shared" si="1"/>
        <v>0</v>
      </c>
      <c r="Q11" s="17">
        <f t="shared" si="2"/>
        <v>0</v>
      </c>
      <c r="R11" s="17">
        <f t="shared" si="3"/>
        <v>0</v>
      </c>
      <c r="S11" s="17">
        <f t="shared" si="4"/>
        <v>0</v>
      </c>
      <c r="T11" s="17">
        <f t="shared" si="5"/>
        <v>0</v>
      </c>
      <c r="U11" s="17">
        <f t="shared" si="6"/>
        <v>0</v>
      </c>
      <c r="V11" s="18">
        <f>O11*IFERROR(VLOOKUP(D11,'Inputs &amp; Settings'!D6:E9,2,FALSE),0)</f>
        <v>0</v>
      </c>
      <c r="W11" s="18">
        <f>T11*IFERROR(VLOOKUP(K11,'Inputs &amp; Settings'!D6:E9,2,FALSE),0)</f>
        <v>0</v>
      </c>
      <c r="X11" s="18">
        <f>O11*'Inputs &amp; Settings'!B15</f>
        <v>0</v>
      </c>
      <c r="Y11" s="18">
        <f>R11*'Inputs &amp; Settings'!B16</f>
        <v>0</v>
      </c>
      <c r="Z11" s="18">
        <f>S11*'Inputs &amp; Settings'!B15</f>
        <v>0</v>
      </c>
      <c r="AA11" s="18">
        <f>P11*'Inputs &amp; Settings'!B17</f>
        <v>0</v>
      </c>
      <c r="AB11" s="17">
        <f t="shared" si="7"/>
        <v>0</v>
      </c>
    </row>
    <row r="12" spans="1:28" x14ac:dyDescent="0.25">
      <c r="A12">
        <v>11</v>
      </c>
      <c r="B12" s="6"/>
      <c r="C12" s="6" t="str">
        <f>'Inputs &amp; Settings'!B7</f>
        <v>2026-02</v>
      </c>
      <c r="D12" s="6" t="s">
        <v>10</v>
      </c>
      <c r="E12" s="14">
        <v>0</v>
      </c>
      <c r="F12" s="15">
        <v>0</v>
      </c>
      <c r="G12" s="15">
        <v>0</v>
      </c>
      <c r="H12" s="16">
        <v>1</v>
      </c>
      <c r="I12" s="16">
        <v>1</v>
      </c>
      <c r="J12" s="15">
        <v>0</v>
      </c>
      <c r="K12" s="6" t="str">
        <f>'Inputs &amp; Settings'!E13</f>
        <v>Marketing</v>
      </c>
      <c r="L12" s="6" t="str">
        <f>'Inputs &amp; Settings'!B20</f>
        <v>No</v>
      </c>
      <c r="M12" s="15">
        <v>0</v>
      </c>
      <c r="N12" s="6"/>
      <c r="O12" s="17">
        <f t="shared" si="0"/>
        <v>0</v>
      </c>
      <c r="P12" s="17">
        <f t="shared" si="1"/>
        <v>0</v>
      </c>
      <c r="Q12" s="17">
        <f t="shared" si="2"/>
        <v>0</v>
      </c>
      <c r="R12" s="17">
        <f t="shared" si="3"/>
        <v>0</v>
      </c>
      <c r="S12" s="17">
        <f t="shared" si="4"/>
        <v>0</v>
      </c>
      <c r="T12" s="17">
        <f t="shared" si="5"/>
        <v>0</v>
      </c>
      <c r="U12" s="17">
        <f t="shared" si="6"/>
        <v>0</v>
      </c>
      <c r="V12" s="18">
        <f>O12*IFERROR(VLOOKUP(D12,'Inputs &amp; Settings'!D6:E9,2,FALSE),0)</f>
        <v>0</v>
      </c>
      <c r="W12" s="18">
        <f>T12*IFERROR(VLOOKUP(K12,'Inputs &amp; Settings'!D6:E9,2,FALSE),0)</f>
        <v>0</v>
      </c>
      <c r="X12" s="18">
        <f>O12*'Inputs &amp; Settings'!B15</f>
        <v>0</v>
      </c>
      <c r="Y12" s="18">
        <f>R12*'Inputs &amp; Settings'!B16</f>
        <v>0</v>
      </c>
      <c r="Z12" s="18">
        <f>S12*'Inputs &amp; Settings'!B15</f>
        <v>0</v>
      </c>
      <c r="AA12" s="18">
        <f>P12*'Inputs &amp; Settings'!B17</f>
        <v>0</v>
      </c>
      <c r="AB12" s="17">
        <f t="shared" si="7"/>
        <v>0</v>
      </c>
    </row>
    <row r="13" spans="1:28" x14ac:dyDescent="0.25">
      <c r="A13">
        <v>12</v>
      </c>
      <c r="B13" s="6"/>
      <c r="C13" s="6" t="str">
        <f>'Inputs &amp; Settings'!B7</f>
        <v>2026-02</v>
      </c>
      <c r="D13" s="6" t="s">
        <v>10</v>
      </c>
      <c r="E13" s="14">
        <v>0</v>
      </c>
      <c r="F13" s="15">
        <v>0</v>
      </c>
      <c r="G13" s="15">
        <v>0</v>
      </c>
      <c r="H13" s="16">
        <v>1</v>
      </c>
      <c r="I13" s="16">
        <v>1</v>
      </c>
      <c r="J13" s="15">
        <v>0</v>
      </c>
      <c r="K13" s="6" t="str">
        <f>'Inputs &amp; Settings'!E13</f>
        <v>Marketing</v>
      </c>
      <c r="L13" s="6" t="str">
        <f>'Inputs &amp; Settings'!B20</f>
        <v>No</v>
      </c>
      <c r="M13" s="15">
        <v>0</v>
      </c>
      <c r="N13" s="6"/>
      <c r="O13" s="17">
        <f t="shared" si="0"/>
        <v>0</v>
      </c>
      <c r="P13" s="17">
        <f t="shared" si="1"/>
        <v>0</v>
      </c>
      <c r="Q13" s="17">
        <f t="shared" si="2"/>
        <v>0</v>
      </c>
      <c r="R13" s="17">
        <f t="shared" si="3"/>
        <v>0</v>
      </c>
      <c r="S13" s="17">
        <f t="shared" si="4"/>
        <v>0</v>
      </c>
      <c r="T13" s="17">
        <f t="shared" si="5"/>
        <v>0</v>
      </c>
      <c r="U13" s="17">
        <f t="shared" si="6"/>
        <v>0</v>
      </c>
      <c r="V13" s="18">
        <f>O13*IFERROR(VLOOKUP(D13,'Inputs &amp; Settings'!D6:E9,2,FALSE),0)</f>
        <v>0</v>
      </c>
      <c r="W13" s="18">
        <f>T13*IFERROR(VLOOKUP(K13,'Inputs &amp; Settings'!D6:E9,2,FALSE),0)</f>
        <v>0</v>
      </c>
      <c r="X13" s="18">
        <f>O13*'Inputs &amp; Settings'!B15</f>
        <v>0</v>
      </c>
      <c r="Y13" s="18">
        <f>R13*'Inputs &amp; Settings'!B16</f>
        <v>0</v>
      </c>
      <c r="Z13" s="18">
        <f>S13*'Inputs &amp; Settings'!B15</f>
        <v>0</v>
      </c>
      <c r="AA13" s="18">
        <f>P13*'Inputs &amp; Settings'!B17</f>
        <v>0</v>
      </c>
      <c r="AB13" s="17">
        <f t="shared" si="7"/>
        <v>0</v>
      </c>
    </row>
    <row r="14" spans="1:28" x14ac:dyDescent="0.25">
      <c r="A14">
        <v>13</v>
      </c>
      <c r="B14" s="6"/>
      <c r="C14" s="6" t="str">
        <f>'Inputs &amp; Settings'!B7</f>
        <v>2026-02</v>
      </c>
      <c r="D14" s="6" t="s">
        <v>10</v>
      </c>
      <c r="E14" s="14">
        <v>0</v>
      </c>
      <c r="F14" s="15">
        <v>0</v>
      </c>
      <c r="G14" s="15">
        <v>0</v>
      </c>
      <c r="H14" s="16">
        <v>1</v>
      </c>
      <c r="I14" s="16">
        <v>1</v>
      </c>
      <c r="J14" s="15">
        <v>0</v>
      </c>
      <c r="K14" s="6" t="str">
        <f>'Inputs &amp; Settings'!E13</f>
        <v>Marketing</v>
      </c>
      <c r="L14" s="6" t="str">
        <f>'Inputs &amp; Settings'!B20</f>
        <v>No</v>
      </c>
      <c r="M14" s="15">
        <v>0</v>
      </c>
      <c r="N14" s="6"/>
      <c r="O14" s="17">
        <f t="shared" si="0"/>
        <v>0</v>
      </c>
      <c r="P14" s="17">
        <f t="shared" si="1"/>
        <v>0</v>
      </c>
      <c r="Q14" s="17">
        <f t="shared" si="2"/>
        <v>0</v>
      </c>
      <c r="R14" s="17">
        <f t="shared" si="3"/>
        <v>0</v>
      </c>
      <c r="S14" s="17">
        <f t="shared" si="4"/>
        <v>0</v>
      </c>
      <c r="T14" s="17">
        <f t="shared" si="5"/>
        <v>0</v>
      </c>
      <c r="U14" s="17">
        <f t="shared" si="6"/>
        <v>0</v>
      </c>
      <c r="V14" s="18">
        <f>O14*IFERROR(VLOOKUP(D14,'Inputs &amp; Settings'!D6:E9,2,FALSE),0)</f>
        <v>0</v>
      </c>
      <c r="W14" s="18">
        <f>T14*IFERROR(VLOOKUP(K14,'Inputs &amp; Settings'!D6:E9,2,FALSE),0)</f>
        <v>0</v>
      </c>
      <c r="X14" s="18">
        <f>O14*'Inputs &amp; Settings'!B15</f>
        <v>0</v>
      </c>
      <c r="Y14" s="18">
        <f>R14*'Inputs &amp; Settings'!B16</f>
        <v>0</v>
      </c>
      <c r="Z14" s="18">
        <f>S14*'Inputs &amp; Settings'!B15</f>
        <v>0</v>
      </c>
      <c r="AA14" s="18">
        <f>P14*'Inputs &amp; Settings'!B17</f>
        <v>0</v>
      </c>
      <c r="AB14" s="17">
        <f t="shared" si="7"/>
        <v>0</v>
      </c>
    </row>
    <row r="15" spans="1:28" x14ac:dyDescent="0.25">
      <c r="A15">
        <v>14</v>
      </c>
      <c r="B15" s="6"/>
      <c r="C15" s="6" t="str">
        <f>'Inputs &amp; Settings'!B7</f>
        <v>2026-02</v>
      </c>
      <c r="D15" s="6" t="s">
        <v>10</v>
      </c>
      <c r="E15" s="14">
        <v>0</v>
      </c>
      <c r="F15" s="15">
        <v>0</v>
      </c>
      <c r="G15" s="15">
        <v>0</v>
      </c>
      <c r="H15" s="16">
        <v>1</v>
      </c>
      <c r="I15" s="16">
        <v>1</v>
      </c>
      <c r="J15" s="15">
        <v>0</v>
      </c>
      <c r="K15" s="6" t="str">
        <f>'Inputs &amp; Settings'!E13</f>
        <v>Marketing</v>
      </c>
      <c r="L15" s="6" t="str">
        <f>'Inputs &amp; Settings'!B20</f>
        <v>No</v>
      </c>
      <c r="M15" s="15">
        <v>0</v>
      </c>
      <c r="N15" s="6"/>
      <c r="O15" s="17">
        <f t="shared" si="0"/>
        <v>0</v>
      </c>
      <c r="P15" s="17">
        <f t="shared" si="1"/>
        <v>0</v>
      </c>
      <c r="Q15" s="17">
        <f t="shared" si="2"/>
        <v>0</v>
      </c>
      <c r="R15" s="17">
        <f t="shared" si="3"/>
        <v>0</v>
      </c>
      <c r="S15" s="17">
        <f t="shared" si="4"/>
        <v>0</v>
      </c>
      <c r="T15" s="17">
        <f t="shared" si="5"/>
        <v>0</v>
      </c>
      <c r="U15" s="17">
        <f t="shared" si="6"/>
        <v>0</v>
      </c>
      <c r="V15" s="18">
        <f>O15*IFERROR(VLOOKUP(D15,'Inputs &amp; Settings'!D6:E9,2,FALSE),0)</f>
        <v>0</v>
      </c>
      <c r="W15" s="18">
        <f>T15*IFERROR(VLOOKUP(K15,'Inputs &amp; Settings'!D6:E9,2,FALSE),0)</f>
        <v>0</v>
      </c>
      <c r="X15" s="18">
        <f>O15*'Inputs &amp; Settings'!B15</f>
        <v>0</v>
      </c>
      <c r="Y15" s="18">
        <f>R15*'Inputs &amp; Settings'!B16</f>
        <v>0</v>
      </c>
      <c r="Z15" s="18">
        <f>S15*'Inputs &amp; Settings'!B15</f>
        <v>0</v>
      </c>
      <c r="AA15" s="18">
        <f>P15*'Inputs &amp; Settings'!B17</f>
        <v>0</v>
      </c>
      <c r="AB15" s="17">
        <f t="shared" si="7"/>
        <v>0</v>
      </c>
    </row>
    <row r="16" spans="1:28" x14ac:dyDescent="0.25">
      <c r="A16">
        <v>15</v>
      </c>
      <c r="B16" s="6"/>
      <c r="C16" s="6" t="str">
        <f>'Inputs &amp; Settings'!B7</f>
        <v>2026-02</v>
      </c>
      <c r="D16" s="6" t="s">
        <v>10</v>
      </c>
      <c r="E16" s="14">
        <v>0</v>
      </c>
      <c r="F16" s="15">
        <v>0</v>
      </c>
      <c r="G16" s="15">
        <v>0</v>
      </c>
      <c r="H16" s="16">
        <v>1</v>
      </c>
      <c r="I16" s="16">
        <v>1</v>
      </c>
      <c r="J16" s="15">
        <v>0</v>
      </c>
      <c r="K16" s="6" t="str">
        <f>'Inputs &amp; Settings'!E13</f>
        <v>Marketing</v>
      </c>
      <c r="L16" s="6" t="str">
        <f>'Inputs &amp; Settings'!B20</f>
        <v>No</v>
      </c>
      <c r="M16" s="15">
        <v>0</v>
      </c>
      <c r="N16" s="6"/>
      <c r="O16" s="17">
        <f t="shared" si="0"/>
        <v>0</v>
      </c>
      <c r="P16" s="17">
        <f t="shared" si="1"/>
        <v>0</v>
      </c>
      <c r="Q16" s="17">
        <f t="shared" si="2"/>
        <v>0</v>
      </c>
      <c r="R16" s="17">
        <f t="shared" si="3"/>
        <v>0</v>
      </c>
      <c r="S16" s="17">
        <f t="shared" si="4"/>
        <v>0</v>
      </c>
      <c r="T16" s="17">
        <f t="shared" si="5"/>
        <v>0</v>
      </c>
      <c r="U16" s="17">
        <f t="shared" si="6"/>
        <v>0</v>
      </c>
      <c r="V16" s="18">
        <f>O16*IFERROR(VLOOKUP(D16,'Inputs &amp; Settings'!D6:E9,2,FALSE),0)</f>
        <v>0</v>
      </c>
      <c r="W16" s="18">
        <f>T16*IFERROR(VLOOKUP(K16,'Inputs &amp; Settings'!D6:E9,2,FALSE),0)</f>
        <v>0</v>
      </c>
      <c r="X16" s="18">
        <f>O16*'Inputs &amp; Settings'!B15</f>
        <v>0</v>
      </c>
      <c r="Y16" s="18">
        <f>R16*'Inputs &amp; Settings'!B16</f>
        <v>0</v>
      </c>
      <c r="Z16" s="18">
        <f>S16*'Inputs &amp; Settings'!B15</f>
        <v>0</v>
      </c>
      <c r="AA16" s="18">
        <f>P16*'Inputs &amp; Settings'!B17</f>
        <v>0</v>
      </c>
      <c r="AB16" s="17">
        <f t="shared" si="7"/>
        <v>0</v>
      </c>
    </row>
    <row r="17" spans="1:28" x14ac:dyDescent="0.25">
      <c r="A17">
        <v>16</v>
      </c>
      <c r="B17" s="6"/>
      <c r="C17" s="6" t="str">
        <f>'Inputs &amp; Settings'!B7</f>
        <v>2026-02</v>
      </c>
      <c r="D17" s="6" t="s">
        <v>10</v>
      </c>
      <c r="E17" s="14">
        <v>0</v>
      </c>
      <c r="F17" s="15">
        <v>0</v>
      </c>
      <c r="G17" s="15">
        <v>0</v>
      </c>
      <c r="H17" s="16">
        <v>1</v>
      </c>
      <c r="I17" s="16">
        <v>1</v>
      </c>
      <c r="J17" s="15">
        <v>0</v>
      </c>
      <c r="K17" s="6" t="str">
        <f>'Inputs &amp; Settings'!E13</f>
        <v>Marketing</v>
      </c>
      <c r="L17" s="6" t="str">
        <f>'Inputs &amp; Settings'!B20</f>
        <v>No</v>
      </c>
      <c r="M17" s="15">
        <v>0</v>
      </c>
      <c r="N17" s="6"/>
      <c r="O17" s="17">
        <f t="shared" si="0"/>
        <v>0</v>
      </c>
      <c r="P17" s="17">
        <f t="shared" si="1"/>
        <v>0</v>
      </c>
      <c r="Q17" s="17">
        <f t="shared" si="2"/>
        <v>0</v>
      </c>
      <c r="R17" s="17">
        <f t="shared" si="3"/>
        <v>0</v>
      </c>
      <c r="S17" s="17">
        <f t="shared" si="4"/>
        <v>0</v>
      </c>
      <c r="T17" s="17">
        <f t="shared" si="5"/>
        <v>0</v>
      </c>
      <c r="U17" s="17">
        <f t="shared" si="6"/>
        <v>0</v>
      </c>
      <c r="V17" s="18">
        <f>O17*IFERROR(VLOOKUP(D17,'Inputs &amp; Settings'!D6:E9,2,FALSE),0)</f>
        <v>0</v>
      </c>
      <c r="W17" s="18">
        <f>T17*IFERROR(VLOOKUP(K17,'Inputs &amp; Settings'!D6:E9,2,FALSE),0)</f>
        <v>0</v>
      </c>
      <c r="X17" s="18">
        <f>O17*'Inputs &amp; Settings'!B15</f>
        <v>0</v>
      </c>
      <c r="Y17" s="18">
        <f>R17*'Inputs &amp; Settings'!B16</f>
        <v>0</v>
      </c>
      <c r="Z17" s="18">
        <f>S17*'Inputs &amp; Settings'!B15</f>
        <v>0</v>
      </c>
      <c r="AA17" s="18">
        <f>P17*'Inputs &amp; Settings'!B17</f>
        <v>0</v>
      </c>
      <c r="AB17" s="17">
        <f t="shared" si="7"/>
        <v>0</v>
      </c>
    </row>
    <row r="18" spans="1:28" x14ac:dyDescent="0.25">
      <c r="A18">
        <v>17</v>
      </c>
      <c r="B18" s="6"/>
      <c r="C18" s="6" t="str">
        <f>'Inputs &amp; Settings'!B7</f>
        <v>2026-02</v>
      </c>
      <c r="D18" s="6" t="s">
        <v>10</v>
      </c>
      <c r="E18" s="14">
        <v>0</v>
      </c>
      <c r="F18" s="15">
        <v>0</v>
      </c>
      <c r="G18" s="15">
        <v>0</v>
      </c>
      <c r="H18" s="16">
        <v>1</v>
      </c>
      <c r="I18" s="16">
        <v>1</v>
      </c>
      <c r="J18" s="15">
        <v>0</v>
      </c>
      <c r="K18" s="6" t="str">
        <f>'Inputs &amp; Settings'!E13</f>
        <v>Marketing</v>
      </c>
      <c r="L18" s="6" t="str">
        <f>'Inputs &amp; Settings'!B20</f>
        <v>No</v>
      </c>
      <c r="M18" s="15">
        <v>0</v>
      </c>
      <c r="N18" s="6"/>
      <c r="O18" s="17">
        <f t="shared" si="0"/>
        <v>0</v>
      </c>
      <c r="P18" s="17">
        <f t="shared" si="1"/>
        <v>0</v>
      </c>
      <c r="Q18" s="17">
        <f t="shared" si="2"/>
        <v>0</v>
      </c>
      <c r="R18" s="17">
        <f t="shared" si="3"/>
        <v>0</v>
      </c>
      <c r="S18" s="17">
        <f t="shared" si="4"/>
        <v>0</v>
      </c>
      <c r="T18" s="17">
        <f t="shared" si="5"/>
        <v>0</v>
      </c>
      <c r="U18" s="17">
        <f t="shared" si="6"/>
        <v>0</v>
      </c>
      <c r="V18" s="18">
        <f>O18*IFERROR(VLOOKUP(D18,'Inputs &amp; Settings'!D6:E9,2,FALSE),0)</f>
        <v>0</v>
      </c>
      <c r="W18" s="18">
        <f>T18*IFERROR(VLOOKUP(K18,'Inputs &amp; Settings'!D6:E9,2,FALSE),0)</f>
        <v>0</v>
      </c>
      <c r="X18" s="18">
        <f>O18*'Inputs &amp; Settings'!B15</f>
        <v>0</v>
      </c>
      <c r="Y18" s="18">
        <f>R18*'Inputs &amp; Settings'!B16</f>
        <v>0</v>
      </c>
      <c r="Z18" s="18">
        <f>S18*'Inputs &amp; Settings'!B15</f>
        <v>0</v>
      </c>
      <c r="AA18" s="18">
        <f>P18*'Inputs &amp; Settings'!B17</f>
        <v>0</v>
      </c>
      <c r="AB18" s="17">
        <f t="shared" si="7"/>
        <v>0</v>
      </c>
    </row>
    <row r="19" spans="1:28" x14ac:dyDescent="0.25">
      <c r="A19">
        <v>18</v>
      </c>
      <c r="B19" s="6"/>
      <c r="C19" s="6" t="str">
        <f>'Inputs &amp; Settings'!B7</f>
        <v>2026-02</v>
      </c>
      <c r="D19" s="6" t="s">
        <v>10</v>
      </c>
      <c r="E19" s="14">
        <v>0</v>
      </c>
      <c r="F19" s="15">
        <v>0</v>
      </c>
      <c r="G19" s="15">
        <v>0</v>
      </c>
      <c r="H19" s="16">
        <v>1</v>
      </c>
      <c r="I19" s="16">
        <v>1</v>
      </c>
      <c r="J19" s="15">
        <v>0</v>
      </c>
      <c r="K19" s="6" t="str">
        <f>'Inputs &amp; Settings'!E13</f>
        <v>Marketing</v>
      </c>
      <c r="L19" s="6" t="str">
        <f>'Inputs &amp; Settings'!B20</f>
        <v>No</v>
      </c>
      <c r="M19" s="15">
        <v>0</v>
      </c>
      <c r="N19" s="6"/>
      <c r="O19" s="17">
        <f t="shared" si="0"/>
        <v>0</v>
      </c>
      <c r="P19" s="17">
        <f t="shared" si="1"/>
        <v>0</v>
      </c>
      <c r="Q19" s="17">
        <f t="shared" si="2"/>
        <v>0</v>
      </c>
      <c r="R19" s="17">
        <f t="shared" si="3"/>
        <v>0</v>
      </c>
      <c r="S19" s="17">
        <f t="shared" si="4"/>
        <v>0</v>
      </c>
      <c r="T19" s="17">
        <f t="shared" si="5"/>
        <v>0</v>
      </c>
      <c r="U19" s="17">
        <f t="shared" si="6"/>
        <v>0</v>
      </c>
      <c r="V19" s="18">
        <f>O19*IFERROR(VLOOKUP(D19,'Inputs &amp; Settings'!D6:E9,2,FALSE),0)</f>
        <v>0</v>
      </c>
      <c r="W19" s="18">
        <f>T19*IFERROR(VLOOKUP(K19,'Inputs &amp; Settings'!D6:E9,2,FALSE),0)</f>
        <v>0</v>
      </c>
      <c r="X19" s="18">
        <f>O19*'Inputs &amp; Settings'!B15</f>
        <v>0</v>
      </c>
      <c r="Y19" s="18">
        <f>R19*'Inputs &amp; Settings'!B16</f>
        <v>0</v>
      </c>
      <c r="Z19" s="18">
        <f>S19*'Inputs &amp; Settings'!B15</f>
        <v>0</v>
      </c>
      <c r="AA19" s="18">
        <f>P19*'Inputs &amp; Settings'!B17</f>
        <v>0</v>
      </c>
      <c r="AB19" s="17">
        <f t="shared" si="7"/>
        <v>0</v>
      </c>
    </row>
    <row r="20" spans="1:28" x14ac:dyDescent="0.25">
      <c r="A20">
        <v>19</v>
      </c>
      <c r="B20" s="6"/>
      <c r="C20" s="6" t="str">
        <f>'Inputs &amp; Settings'!B7</f>
        <v>2026-02</v>
      </c>
      <c r="D20" s="6" t="s">
        <v>10</v>
      </c>
      <c r="E20" s="14">
        <v>0</v>
      </c>
      <c r="F20" s="15">
        <v>0</v>
      </c>
      <c r="G20" s="15">
        <v>0</v>
      </c>
      <c r="H20" s="16">
        <v>1</v>
      </c>
      <c r="I20" s="16">
        <v>1</v>
      </c>
      <c r="J20" s="15">
        <v>0</v>
      </c>
      <c r="K20" s="6" t="str">
        <f>'Inputs &amp; Settings'!E13</f>
        <v>Marketing</v>
      </c>
      <c r="L20" s="6" t="str">
        <f>'Inputs &amp; Settings'!B20</f>
        <v>No</v>
      </c>
      <c r="M20" s="15">
        <v>0</v>
      </c>
      <c r="N20" s="6"/>
      <c r="O20" s="17">
        <f t="shared" si="0"/>
        <v>0</v>
      </c>
      <c r="P20" s="17">
        <f t="shared" si="1"/>
        <v>0</v>
      </c>
      <c r="Q20" s="17">
        <f t="shared" si="2"/>
        <v>0</v>
      </c>
      <c r="R20" s="17">
        <f t="shared" si="3"/>
        <v>0</v>
      </c>
      <c r="S20" s="17">
        <f t="shared" si="4"/>
        <v>0</v>
      </c>
      <c r="T20" s="17">
        <f t="shared" si="5"/>
        <v>0</v>
      </c>
      <c r="U20" s="17">
        <f t="shared" si="6"/>
        <v>0</v>
      </c>
      <c r="V20" s="18">
        <f>O20*IFERROR(VLOOKUP(D20,'Inputs &amp; Settings'!D6:E9,2,FALSE),0)</f>
        <v>0</v>
      </c>
      <c r="W20" s="18">
        <f>T20*IFERROR(VLOOKUP(K20,'Inputs &amp; Settings'!D6:E9,2,FALSE),0)</f>
        <v>0</v>
      </c>
      <c r="X20" s="18">
        <f>O20*'Inputs &amp; Settings'!B15</f>
        <v>0</v>
      </c>
      <c r="Y20" s="18">
        <f>R20*'Inputs &amp; Settings'!B16</f>
        <v>0</v>
      </c>
      <c r="Z20" s="18">
        <f>S20*'Inputs &amp; Settings'!B15</f>
        <v>0</v>
      </c>
      <c r="AA20" s="18">
        <f>P20*'Inputs &amp; Settings'!B17</f>
        <v>0</v>
      </c>
      <c r="AB20" s="17">
        <f t="shared" si="7"/>
        <v>0</v>
      </c>
    </row>
    <row r="21" spans="1:28" x14ac:dyDescent="0.25">
      <c r="A21">
        <v>20</v>
      </c>
      <c r="B21" s="6"/>
      <c r="C21" s="6" t="str">
        <f>'Inputs &amp; Settings'!B7</f>
        <v>2026-02</v>
      </c>
      <c r="D21" s="6" t="s">
        <v>10</v>
      </c>
      <c r="E21" s="14">
        <v>0</v>
      </c>
      <c r="F21" s="15">
        <v>0</v>
      </c>
      <c r="G21" s="15">
        <v>0</v>
      </c>
      <c r="H21" s="16">
        <v>1</v>
      </c>
      <c r="I21" s="16">
        <v>1</v>
      </c>
      <c r="J21" s="15">
        <v>0</v>
      </c>
      <c r="K21" s="6" t="str">
        <f>'Inputs &amp; Settings'!E13</f>
        <v>Marketing</v>
      </c>
      <c r="L21" s="6" t="str">
        <f>'Inputs &amp; Settings'!B20</f>
        <v>No</v>
      </c>
      <c r="M21" s="15">
        <v>0</v>
      </c>
      <c r="N21" s="6"/>
      <c r="O21" s="17">
        <f t="shared" si="0"/>
        <v>0</v>
      </c>
      <c r="P21" s="17">
        <f t="shared" si="1"/>
        <v>0</v>
      </c>
      <c r="Q21" s="17">
        <f t="shared" si="2"/>
        <v>0</v>
      </c>
      <c r="R21" s="17">
        <f t="shared" si="3"/>
        <v>0</v>
      </c>
      <c r="S21" s="17">
        <f t="shared" si="4"/>
        <v>0</v>
      </c>
      <c r="T21" s="17">
        <f t="shared" si="5"/>
        <v>0</v>
      </c>
      <c r="U21" s="17">
        <f t="shared" si="6"/>
        <v>0</v>
      </c>
      <c r="V21" s="18">
        <f>O21*IFERROR(VLOOKUP(D21,'Inputs &amp; Settings'!D6:E9,2,FALSE),0)</f>
        <v>0</v>
      </c>
      <c r="W21" s="18">
        <f>T21*IFERROR(VLOOKUP(K21,'Inputs &amp; Settings'!D6:E9,2,FALSE),0)</f>
        <v>0</v>
      </c>
      <c r="X21" s="18">
        <f>O21*'Inputs &amp; Settings'!B15</f>
        <v>0</v>
      </c>
      <c r="Y21" s="18">
        <f>R21*'Inputs &amp; Settings'!B16</f>
        <v>0</v>
      </c>
      <c r="Z21" s="18">
        <f>S21*'Inputs &amp; Settings'!B15</f>
        <v>0</v>
      </c>
      <c r="AA21" s="18">
        <f>P21*'Inputs &amp; Settings'!B17</f>
        <v>0</v>
      </c>
      <c r="AB21" s="17">
        <f t="shared" si="7"/>
        <v>0</v>
      </c>
    </row>
  </sheetData>
  <dataValidations count="2">
    <dataValidation type="list" sqref="D2:D21 K2:K21" xr:uid="{00000000-0002-0000-0100-000000000000}">
      <formula1>"Marketing,Utility,Authentication,Service"</formula1>
    </dataValidation>
    <dataValidation type="list" sqref="L2:L21" xr:uid="{00000000-0002-0000-0100-000001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6"/>
  <sheetViews>
    <sheetView showGridLines="0" tabSelected="1" topLeftCell="H1" workbookViewId="0">
      <pane ySplit="2" topLeftCell="A3" activePane="bottomLeft" state="frozen"/>
      <selection pane="bottomLeft" activeCell="X4" sqref="X4"/>
    </sheetView>
  </sheetViews>
  <sheetFormatPr baseColWidth="10" defaultColWidth="9.140625" defaultRowHeight="15" x14ac:dyDescent="0.25"/>
  <cols>
    <col min="1" max="1" width="12" customWidth="1"/>
    <col min="2" max="15" width="16" customWidth="1"/>
    <col min="16" max="16" width="16" hidden="1" customWidth="1"/>
    <col min="17" max="17" width="16" customWidth="1"/>
    <col min="18" max="19" width="16" hidden="1" customWidth="1"/>
    <col min="20" max="27" width="16" customWidth="1"/>
  </cols>
  <sheetData>
    <row r="1" spans="1:27" ht="18.75" x14ac:dyDescent="0.3">
      <c r="A1" s="19" t="s">
        <v>62</v>
      </c>
      <c r="Y1" s="29" t="s">
        <v>9</v>
      </c>
      <c r="Z1" s="29">
        <v>892.86</v>
      </c>
      <c r="AA1" s="29">
        <v>892.86</v>
      </c>
    </row>
    <row r="2" spans="1:27" ht="45" x14ac:dyDescent="0.25">
      <c r="A2" s="13" t="s">
        <v>63</v>
      </c>
      <c r="B2" s="13" t="s">
        <v>64</v>
      </c>
      <c r="C2" s="13" t="s">
        <v>65</v>
      </c>
      <c r="D2" s="13" t="s">
        <v>66</v>
      </c>
      <c r="E2" s="13" t="s">
        <v>50</v>
      </c>
      <c r="F2" s="13" t="s">
        <v>51</v>
      </c>
      <c r="G2" s="13" t="s">
        <v>67</v>
      </c>
      <c r="H2" s="13" t="s">
        <v>55</v>
      </c>
      <c r="I2" s="13" t="s">
        <v>56</v>
      </c>
      <c r="J2" s="13" t="s">
        <v>68</v>
      </c>
      <c r="K2" s="13" t="s">
        <v>57</v>
      </c>
      <c r="L2" s="13" t="s">
        <v>58</v>
      </c>
      <c r="M2" s="13" t="s">
        <v>59</v>
      </c>
      <c r="N2" s="13" t="s">
        <v>60</v>
      </c>
      <c r="O2" s="13" t="s">
        <v>69</v>
      </c>
      <c r="P2" s="13" t="s">
        <v>61</v>
      </c>
      <c r="Q2" s="13" t="s">
        <v>70</v>
      </c>
      <c r="R2" s="13" t="s">
        <v>71</v>
      </c>
      <c r="S2" s="13" t="s">
        <v>72</v>
      </c>
      <c r="T2" s="13" t="s">
        <v>73</v>
      </c>
      <c r="U2" s="13" t="s">
        <v>74</v>
      </c>
      <c r="V2" s="13" t="s">
        <v>75</v>
      </c>
      <c r="W2" s="13" t="s">
        <v>76</v>
      </c>
      <c r="X2" s="13" t="s">
        <v>101</v>
      </c>
      <c r="Y2" s="28" t="s">
        <v>105</v>
      </c>
      <c r="Z2" s="28" t="s">
        <v>105</v>
      </c>
      <c r="AA2" s="28" t="s">
        <v>105</v>
      </c>
    </row>
    <row r="3" spans="1:27" x14ac:dyDescent="0.25">
      <c r="A3" s="6" t="s">
        <v>12</v>
      </c>
      <c r="B3" s="17">
        <f>SUMIF('Campaign Planner'!C:C,A3,'Campaign Planner'!E:E)</f>
        <v>0</v>
      </c>
      <c r="C3" s="17">
        <f>SUMIF('Campaign Planner'!C:C,A3,'Campaign Planner'!O:O)</f>
        <v>0</v>
      </c>
      <c r="D3" s="17">
        <f>SUMIF('Campaign Planner'!C:C,A3,'Campaign Planner'!P:P)</f>
        <v>0</v>
      </c>
      <c r="E3" s="17">
        <f>SUMIF('Campaign Planner'!C:C,A3,'Campaign Planner'!Q:Q)</f>
        <v>0</v>
      </c>
      <c r="F3" s="17">
        <f>SUMIF('Campaign Planner'!C:C,A3,'Campaign Planner'!R:R)</f>
        <v>0</v>
      </c>
      <c r="G3" s="17">
        <f>SUMIF('Campaign Planner'!C:C,A3,'Campaign Planner'!S:S)</f>
        <v>0</v>
      </c>
      <c r="H3" s="18">
        <f>SUMIF('Campaign Planner'!C:C,A3,'Campaign Planner'!V:V)</f>
        <v>0</v>
      </c>
      <c r="I3" s="18">
        <f>SUMIF('Campaign Planner'!C:C,A3,'Campaign Planner'!W:W)</f>
        <v>0</v>
      </c>
      <c r="J3" s="18">
        <f t="shared" ref="J3:J14" si="0">H3+I3</f>
        <v>0</v>
      </c>
      <c r="K3" s="18">
        <f>SUMIF('Campaign Planner'!C:C,A3,'Campaign Planner'!X:X)</f>
        <v>0</v>
      </c>
      <c r="L3" s="18">
        <f>SUMIF('Campaign Planner'!C:C,A3,'Campaign Planner'!Y:Y)</f>
        <v>0</v>
      </c>
      <c r="M3" s="18">
        <f>SUMIF('Campaign Planner'!C:C,A3,'Campaign Planner'!Z:Z)</f>
        <v>0</v>
      </c>
      <c r="N3" s="18">
        <f>SUMIF('Campaign Planner'!C:C,A3,'Campaign Planner'!AA:AA)</f>
        <v>0</v>
      </c>
      <c r="O3" s="18">
        <f t="shared" ref="O3:O14" si="1">K3+L3+M3+N3</f>
        <v>0</v>
      </c>
      <c r="P3" s="17">
        <f>SUMIF('Campaign Planner'!C:C,A3,'Campaign Planner'!AB:AB)</f>
        <v>0</v>
      </c>
      <c r="Q3" s="17">
        <f>'Inputs &amp; Settings'!B22</f>
        <v>1000</v>
      </c>
      <c r="R3" s="17">
        <f t="shared" ref="R3:R14" si="2">MAX(0,P3-Q3)</f>
        <v>0</v>
      </c>
      <c r="S3" s="18">
        <f>R3*'Inputs &amp; Settings'!B21</f>
        <v>0</v>
      </c>
      <c r="T3" s="18">
        <f t="shared" ref="T3:T14" si="3">J3+O3+S3</f>
        <v>0</v>
      </c>
      <c r="U3" s="18">
        <f>O3*'Inputs &amp; Settings'!B10</f>
        <v>0</v>
      </c>
      <c r="V3" s="18">
        <f>J3*'Inputs &amp; Settings'!B11</f>
        <v>0</v>
      </c>
      <c r="W3" s="18">
        <f t="shared" ref="W3:W14" si="4">T3+U3+V3</f>
        <v>0</v>
      </c>
      <c r="X3" s="18">
        <f>W3*'Inputs &amp; Settings'!E16</f>
        <v>0</v>
      </c>
      <c r="Y3" s="30">
        <f>W3+X3</f>
        <v>0</v>
      </c>
      <c r="Z3" s="31" t="e">
        <f>#REF!*Y3</f>
        <v>#REF!</v>
      </c>
      <c r="AA3" s="31" t="e">
        <f>Z3/B3</f>
        <v>#REF!</v>
      </c>
    </row>
    <row r="4" spans="1:27" x14ac:dyDescent="0.25">
      <c r="A4" s="6" t="s">
        <v>77</v>
      </c>
      <c r="B4" s="17">
        <f>SUMIF('Campaign Planner'!C:C,A4,'Campaign Planner'!E:E)</f>
        <v>3000</v>
      </c>
      <c r="C4" s="17">
        <f>SUMIF('Campaign Planner'!C:C,A4,'Campaign Planner'!O:O)</f>
        <v>2850</v>
      </c>
      <c r="D4" s="17">
        <f>SUMIF('Campaign Planner'!C:C,A4,'Campaign Planner'!P:P)</f>
        <v>150</v>
      </c>
      <c r="E4" s="17">
        <f>SUMIF('Campaign Planner'!C:C,A4,'Campaign Planner'!Q:Q)</f>
        <v>342</v>
      </c>
      <c r="F4" s="17">
        <f>SUMIF('Campaign Planner'!C:C,A4,'Campaign Planner'!R:R)</f>
        <v>342</v>
      </c>
      <c r="G4" s="17">
        <f>SUMIF('Campaign Planner'!C:C,A4,'Campaign Planner'!S:S)</f>
        <v>342</v>
      </c>
      <c r="H4" s="18">
        <f>SUMIF('Campaign Planner'!C:C,A4,'Campaign Planner'!V:V)</f>
        <v>253.36500000000001</v>
      </c>
      <c r="I4" s="18">
        <f>SUMIF('Campaign Planner'!C:C,A4,'Campaign Planner'!W:W)</f>
        <v>0</v>
      </c>
      <c r="J4" s="18">
        <f t="shared" si="0"/>
        <v>253.36500000000001</v>
      </c>
      <c r="K4" s="18">
        <f>SUMIF('Campaign Planner'!C:C,A4,'Campaign Planner'!X:X)</f>
        <v>14.25</v>
      </c>
      <c r="L4" s="18">
        <f>SUMIF('Campaign Planner'!C:C,A4,'Campaign Planner'!Y:Y)</f>
        <v>1.71</v>
      </c>
      <c r="M4" s="18">
        <f>SUMIF('Campaign Planner'!C:C,A4,'Campaign Planner'!Z:Z)</f>
        <v>1.71</v>
      </c>
      <c r="N4" s="18">
        <f>SUMIF('Campaign Planner'!C:C,A4,'Campaign Planner'!AA:AA)</f>
        <v>0.15</v>
      </c>
      <c r="O4" s="18">
        <f t="shared" si="1"/>
        <v>17.82</v>
      </c>
      <c r="P4" s="17">
        <f>SUMIF('Campaign Planner'!C:C,A4,'Campaign Planner'!AB:AB)</f>
        <v>0</v>
      </c>
      <c r="Q4" s="17">
        <f>'Inputs &amp; Settings'!B22</f>
        <v>1000</v>
      </c>
      <c r="R4" s="17">
        <f t="shared" si="2"/>
        <v>0</v>
      </c>
      <c r="S4" s="18">
        <f>R4*'Inputs &amp; Settings'!B21</f>
        <v>0</v>
      </c>
      <c r="T4" s="18">
        <f t="shared" si="3"/>
        <v>271.185</v>
      </c>
      <c r="U4" s="18">
        <f>O4*'Inputs &amp; Settings'!B10</f>
        <v>3.3858000000000001</v>
      </c>
      <c r="V4" s="18">
        <f>J4*'Inputs &amp; Settings'!B11</f>
        <v>48.13935</v>
      </c>
      <c r="W4" s="18">
        <f t="shared" si="4"/>
        <v>322.71015</v>
      </c>
      <c r="X4" s="18">
        <f>W4*'Inputs &amp; Settings'!E16</f>
        <v>96.813045000000002</v>
      </c>
      <c r="Y4" s="30">
        <f>W4+X4</f>
        <v>419.52319499999999</v>
      </c>
      <c r="Z4" s="31">
        <f>Z1*Y4</f>
        <v>374575.4798877</v>
      </c>
      <c r="AA4" s="31">
        <f>Z4/B4</f>
        <v>124.8584932959</v>
      </c>
    </row>
    <row r="5" spans="1:27" x14ac:dyDescent="0.25">
      <c r="A5" s="6" t="s">
        <v>78</v>
      </c>
      <c r="B5" s="17">
        <f>SUMIF('Campaign Planner'!C:C,A5,'Campaign Planner'!E:E)</f>
        <v>0</v>
      </c>
      <c r="C5" s="17">
        <f>SUMIF('Campaign Planner'!C:C,A5,'Campaign Planner'!O:O)</f>
        <v>0</v>
      </c>
      <c r="D5" s="17">
        <f>SUMIF('Campaign Planner'!C:C,A5,'Campaign Planner'!P:P)</f>
        <v>0</v>
      </c>
      <c r="E5" s="17">
        <f>SUMIF('Campaign Planner'!C:C,A5,'Campaign Planner'!Q:Q)</f>
        <v>0</v>
      </c>
      <c r="F5" s="17">
        <f>SUMIF('Campaign Planner'!C:C,A5,'Campaign Planner'!R:R)</f>
        <v>0</v>
      </c>
      <c r="G5" s="17">
        <f>SUMIF('Campaign Planner'!C:C,A5,'Campaign Planner'!S:S)</f>
        <v>0</v>
      </c>
      <c r="H5" s="18">
        <f>SUMIF('Campaign Planner'!C:C,A5,'Campaign Planner'!V:V)</f>
        <v>0</v>
      </c>
      <c r="I5" s="18">
        <f>SUMIF('Campaign Planner'!C:C,A5,'Campaign Planner'!W:W)</f>
        <v>0</v>
      </c>
      <c r="J5" s="18">
        <f t="shared" si="0"/>
        <v>0</v>
      </c>
      <c r="K5" s="18">
        <f>SUMIF('Campaign Planner'!C:C,A5,'Campaign Planner'!X:X)</f>
        <v>0</v>
      </c>
      <c r="L5" s="18">
        <f>SUMIF('Campaign Planner'!C:C,A5,'Campaign Planner'!Y:Y)</f>
        <v>0</v>
      </c>
      <c r="M5" s="18">
        <f>SUMIF('Campaign Planner'!C:C,A5,'Campaign Planner'!Z:Z)</f>
        <v>0</v>
      </c>
      <c r="N5" s="18">
        <f>SUMIF('Campaign Planner'!C:C,A5,'Campaign Planner'!AA:AA)</f>
        <v>0</v>
      </c>
      <c r="O5" s="18">
        <f t="shared" si="1"/>
        <v>0</v>
      </c>
      <c r="P5" s="17">
        <f>SUMIF('Campaign Planner'!C:C,A5,'Campaign Planner'!AB:AB)</f>
        <v>0</v>
      </c>
      <c r="Q5" s="17">
        <f>'Inputs &amp; Settings'!B22</f>
        <v>1000</v>
      </c>
      <c r="R5" s="17">
        <f t="shared" si="2"/>
        <v>0</v>
      </c>
      <c r="S5" s="18">
        <f>R5*'Inputs &amp; Settings'!B21</f>
        <v>0</v>
      </c>
      <c r="T5" s="18">
        <f t="shared" si="3"/>
        <v>0</v>
      </c>
      <c r="U5" s="18">
        <f>O5*'Inputs &amp; Settings'!B10</f>
        <v>0</v>
      </c>
      <c r="V5" s="18">
        <f>J5*'Inputs &amp; Settings'!B11</f>
        <v>0</v>
      </c>
      <c r="W5" s="18">
        <f t="shared" si="4"/>
        <v>0</v>
      </c>
      <c r="X5" s="18">
        <f>W5*'Inputs &amp; Settings'!E16</f>
        <v>0</v>
      </c>
      <c r="Y5" s="30">
        <f t="shared" ref="Y5:Z14" si="5">W5+X5</f>
        <v>0</v>
      </c>
      <c r="Z5" s="31" t="e">
        <f>Z2*Y5</f>
        <v>#VALUE!</v>
      </c>
      <c r="AA5" s="31" t="e">
        <f t="shared" ref="AA5:AA14" si="6">Z5/B5</f>
        <v>#VALUE!</v>
      </c>
    </row>
    <row r="6" spans="1:27" x14ac:dyDescent="0.25">
      <c r="A6" s="6" t="s">
        <v>79</v>
      </c>
      <c r="B6" s="17">
        <f>SUMIF('Campaign Planner'!C:C,A6,'Campaign Planner'!E:E)</f>
        <v>0</v>
      </c>
      <c r="C6" s="17">
        <f>SUMIF('Campaign Planner'!C:C,A6,'Campaign Planner'!O:O)</f>
        <v>0</v>
      </c>
      <c r="D6" s="17">
        <f>SUMIF('Campaign Planner'!C:C,A6,'Campaign Planner'!P:P)</f>
        <v>0</v>
      </c>
      <c r="E6" s="17">
        <f>SUMIF('Campaign Planner'!C:C,A6,'Campaign Planner'!Q:Q)</f>
        <v>0</v>
      </c>
      <c r="F6" s="17">
        <f>SUMIF('Campaign Planner'!C:C,A6,'Campaign Planner'!R:R)</f>
        <v>0</v>
      </c>
      <c r="G6" s="17">
        <f>SUMIF('Campaign Planner'!C:C,A6,'Campaign Planner'!S:S)</f>
        <v>0</v>
      </c>
      <c r="H6" s="18">
        <f>SUMIF('Campaign Planner'!C:C,A6,'Campaign Planner'!V:V)</f>
        <v>0</v>
      </c>
      <c r="I6" s="18">
        <f>SUMIF('Campaign Planner'!C:C,A6,'Campaign Planner'!W:W)</f>
        <v>0</v>
      </c>
      <c r="J6" s="18">
        <f t="shared" si="0"/>
        <v>0</v>
      </c>
      <c r="K6" s="18">
        <f>SUMIF('Campaign Planner'!C:C,A6,'Campaign Planner'!X:X)</f>
        <v>0</v>
      </c>
      <c r="L6" s="18">
        <f>SUMIF('Campaign Planner'!C:C,A6,'Campaign Planner'!Y:Y)</f>
        <v>0</v>
      </c>
      <c r="M6" s="18">
        <f>SUMIF('Campaign Planner'!C:C,A6,'Campaign Planner'!Z:Z)</f>
        <v>0</v>
      </c>
      <c r="N6" s="18">
        <f>SUMIF('Campaign Planner'!C:C,A6,'Campaign Planner'!AA:AA)</f>
        <v>0</v>
      </c>
      <c r="O6" s="18">
        <f t="shared" si="1"/>
        <v>0</v>
      </c>
      <c r="P6" s="17">
        <f>SUMIF('Campaign Planner'!C:C,A6,'Campaign Planner'!AB:AB)</f>
        <v>0</v>
      </c>
      <c r="Q6" s="17">
        <f>'Inputs &amp; Settings'!B22</f>
        <v>1000</v>
      </c>
      <c r="R6" s="17">
        <f t="shared" si="2"/>
        <v>0</v>
      </c>
      <c r="S6" s="18">
        <f>R6*'Inputs &amp; Settings'!B21</f>
        <v>0</v>
      </c>
      <c r="T6" s="18">
        <f t="shared" si="3"/>
        <v>0</v>
      </c>
      <c r="U6" s="18">
        <f>O6*'Inputs &amp; Settings'!B10</f>
        <v>0</v>
      </c>
      <c r="V6" s="18">
        <f>J6*'Inputs &amp; Settings'!B11</f>
        <v>0</v>
      </c>
      <c r="W6" s="18">
        <f t="shared" si="4"/>
        <v>0</v>
      </c>
      <c r="X6" s="18">
        <f>W6*'Inputs &amp; Settings'!E16</f>
        <v>0</v>
      </c>
      <c r="Y6" s="30">
        <f t="shared" si="5"/>
        <v>0</v>
      </c>
      <c r="Z6" s="31"/>
      <c r="AA6" s="31" t="e">
        <f t="shared" si="6"/>
        <v>#DIV/0!</v>
      </c>
    </row>
    <row r="7" spans="1:27" x14ac:dyDescent="0.25">
      <c r="A7" s="6" t="s">
        <v>80</v>
      </c>
      <c r="B7" s="17">
        <f>SUMIF('Campaign Planner'!C:C,A7,'Campaign Planner'!E:E)</f>
        <v>0</v>
      </c>
      <c r="C7" s="17">
        <f>SUMIF('Campaign Planner'!C:C,A7,'Campaign Planner'!O:O)</f>
        <v>0</v>
      </c>
      <c r="D7" s="17">
        <f>SUMIF('Campaign Planner'!C:C,A7,'Campaign Planner'!P:P)</f>
        <v>0</v>
      </c>
      <c r="E7" s="17">
        <f>SUMIF('Campaign Planner'!C:C,A7,'Campaign Planner'!Q:Q)</f>
        <v>0</v>
      </c>
      <c r="F7" s="17">
        <f>SUMIF('Campaign Planner'!C:C,A7,'Campaign Planner'!R:R)</f>
        <v>0</v>
      </c>
      <c r="G7" s="17">
        <f>SUMIF('Campaign Planner'!C:C,A7,'Campaign Planner'!S:S)</f>
        <v>0</v>
      </c>
      <c r="H7" s="18">
        <f>SUMIF('Campaign Planner'!C:C,A7,'Campaign Planner'!V:V)</f>
        <v>0</v>
      </c>
      <c r="I7" s="18">
        <f>SUMIF('Campaign Planner'!C:C,A7,'Campaign Planner'!W:W)</f>
        <v>0</v>
      </c>
      <c r="J7" s="18">
        <f t="shared" si="0"/>
        <v>0</v>
      </c>
      <c r="K7" s="18">
        <f>SUMIF('Campaign Planner'!C:C,A7,'Campaign Planner'!X:X)</f>
        <v>0</v>
      </c>
      <c r="L7" s="18">
        <f>SUMIF('Campaign Planner'!C:C,A7,'Campaign Planner'!Y:Y)</f>
        <v>0</v>
      </c>
      <c r="M7" s="18">
        <f>SUMIF('Campaign Planner'!C:C,A7,'Campaign Planner'!Z:Z)</f>
        <v>0</v>
      </c>
      <c r="N7" s="18">
        <f>SUMIF('Campaign Planner'!C:C,A7,'Campaign Planner'!AA:AA)</f>
        <v>0</v>
      </c>
      <c r="O7" s="18">
        <f t="shared" si="1"/>
        <v>0</v>
      </c>
      <c r="P7" s="17">
        <f>SUMIF('Campaign Planner'!C:C,A7,'Campaign Planner'!AB:AB)</f>
        <v>0</v>
      </c>
      <c r="Q7" s="17">
        <f>'Inputs &amp; Settings'!B22</f>
        <v>1000</v>
      </c>
      <c r="R7" s="17">
        <f t="shared" si="2"/>
        <v>0</v>
      </c>
      <c r="S7" s="18">
        <f>R7*'Inputs &amp; Settings'!B21</f>
        <v>0</v>
      </c>
      <c r="T7" s="18">
        <f t="shared" si="3"/>
        <v>0</v>
      </c>
      <c r="U7" s="18">
        <f>O7*'Inputs &amp; Settings'!B10</f>
        <v>0</v>
      </c>
      <c r="V7" s="18">
        <f>J7*'Inputs &amp; Settings'!B11</f>
        <v>0</v>
      </c>
      <c r="W7" s="18">
        <f t="shared" si="4"/>
        <v>0</v>
      </c>
      <c r="X7" s="18">
        <f>W7*'Inputs &amp; Settings'!E16</f>
        <v>0</v>
      </c>
      <c r="Y7" s="30">
        <f t="shared" si="5"/>
        <v>0</v>
      </c>
      <c r="Z7" s="31"/>
      <c r="AA7" s="31" t="e">
        <f t="shared" si="6"/>
        <v>#DIV/0!</v>
      </c>
    </row>
    <row r="8" spans="1:27" x14ac:dyDescent="0.25">
      <c r="A8" s="6" t="s">
        <v>81</v>
      </c>
      <c r="B8" s="17">
        <f>SUMIF('Campaign Planner'!C:C,A8,'Campaign Planner'!E:E)</f>
        <v>0</v>
      </c>
      <c r="C8" s="17">
        <f>SUMIF('Campaign Planner'!C:C,A8,'Campaign Planner'!O:O)</f>
        <v>0</v>
      </c>
      <c r="D8" s="17">
        <f>SUMIF('Campaign Planner'!C:C,A8,'Campaign Planner'!P:P)</f>
        <v>0</v>
      </c>
      <c r="E8" s="17">
        <f>SUMIF('Campaign Planner'!C:C,A8,'Campaign Planner'!Q:Q)</f>
        <v>0</v>
      </c>
      <c r="F8" s="17">
        <f>SUMIF('Campaign Planner'!C:C,A8,'Campaign Planner'!R:R)</f>
        <v>0</v>
      </c>
      <c r="G8" s="17">
        <f>SUMIF('Campaign Planner'!C:C,A8,'Campaign Planner'!S:S)</f>
        <v>0</v>
      </c>
      <c r="H8" s="18">
        <f>SUMIF('Campaign Planner'!C:C,A8,'Campaign Planner'!V:V)</f>
        <v>0</v>
      </c>
      <c r="I8" s="18">
        <f>SUMIF('Campaign Planner'!C:C,A8,'Campaign Planner'!W:W)</f>
        <v>0</v>
      </c>
      <c r="J8" s="18">
        <f t="shared" si="0"/>
        <v>0</v>
      </c>
      <c r="K8" s="18">
        <f>SUMIF('Campaign Planner'!C:C,A8,'Campaign Planner'!X:X)</f>
        <v>0</v>
      </c>
      <c r="L8" s="18">
        <f>SUMIF('Campaign Planner'!C:C,A8,'Campaign Planner'!Y:Y)</f>
        <v>0</v>
      </c>
      <c r="M8" s="18">
        <f>SUMIF('Campaign Planner'!C:C,A8,'Campaign Planner'!Z:Z)</f>
        <v>0</v>
      </c>
      <c r="N8" s="18">
        <f>SUMIF('Campaign Planner'!C:C,A8,'Campaign Planner'!AA:AA)</f>
        <v>0</v>
      </c>
      <c r="O8" s="18">
        <f t="shared" si="1"/>
        <v>0</v>
      </c>
      <c r="P8" s="17">
        <f>SUMIF('Campaign Planner'!C:C,A8,'Campaign Planner'!AB:AB)</f>
        <v>0</v>
      </c>
      <c r="Q8" s="17">
        <f>'Inputs &amp; Settings'!B22</f>
        <v>1000</v>
      </c>
      <c r="R8" s="17">
        <f t="shared" si="2"/>
        <v>0</v>
      </c>
      <c r="S8" s="18">
        <f>R8*'Inputs &amp; Settings'!B21</f>
        <v>0</v>
      </c>
      <c r="T8" s="18">
        <f t="shared" si="3"/>
        <v>0</v>
      </c>
      <c r="U8" s="18">
        <f>O8*'Inputs &amp; Settings'!B10</f>
        <v>0</v>
      </c>
      <c r="V8" s="18">
        <f>J8*'Inputs &amp; Settings'!B11</f>
        <v>0</v>
      </c>
      <c r="W8" s="18">
        <f t="shared" si="4"/>
        <v>0</v>
      </c>
      <c r="X8" s="18">
        <f>W8*'Inputs &amp; Settings'!E16</f>
        <v>0</v>
      </c>
      <c r="Y8" s="30">
        <f t="shared" si="5"/>
        <v>0</v>
      </c>
      <c r="Z8" s="31"/>
      <c r="AA8" s="31" t="e">
        <f t="shared" si="6"/>
        <v>#DIV/0!</v>
      </c>
    </row>
    <row r="9" spans="1:27" x14ac:dyDescent="0.25">
      <c r="A9" s="6" t="s">
        <v>82</v>
      </c>
      <c r="B9" s="17">
        <f>SUMIF('Campaign Planner'!C:C,A9,'Campaign Planner'!E:E)</f>
        <v>0</v>
      </c>
      <c r="C9" s="17">
        <f>SUMIF('Campaign Planner'!C:C,A9,'Campaign Planner'!O:O)</f>
        <v>0</v>
      </c>
      <c r="D9" s="17">
        <f>SUMIF('Campaign Planner'!C:C,A9,'Campaign Planner'!P:P)</f>
        <v>0</v>
      </c>
      <c r="E9" s="17">
        <f>SUMIF('Campaign Planner'!C:C,A9,'Campaign Planner'!Q:Q)</f>
        <v>0</v>
      </c>
      <c r="F9" s="17">
        <f>SUMIF('Campaign Planner'!C:C,A9,'Campaign Planner'!R:R)</f>
        <v>0</v>
      </c>
      <c r="G9" s="17">
        <f>SUMIF('Campaign Planner'!C:C,A9,'Campaign Planner'!S:S)</f>
        <v>0</v>
      </c>
      <c r="H9" s="18">
        <f>SUMIF('Campaign Planner'!C:C,A9,'Campaign Planner'!V:V)</f>
        <v>0</v>
      </c>
      <c r="I9" s="18">
        <f>SUMIF('Campaign Planner'!C:C,A9,'Campaign Planner'!W:W)</f>
        <v>0</v>
      </c>
      <c r="J9" s="18">
        <f t="shared" si="0"/>
        <v>0</v>
      </c>
      <c r="K9" s="18">
        <f>SUMIF('Campaign Planner'!C:C,A9,'Campaign Planner'!X:X)</f>
        <v>0</v>
      </c>
      <c r="L9" s="18">
        <f>SUMIF('Campaign Planner'!C:C,A9,'Campaign Planner'!Y:Y)</f>
        <v>0</v>
      </c>
      <c r="M9" s="18">
        <f>SUMIF('Campaign Planner'!C:C,A9,'Campaign Planner'!Z:Z)</f>
        <v>0</v>
      </c>
      <c r="N9" s="18">
        <f>SUMIF('Campaign Planner'!C:C,A9,'Campaign Planner'!AA:AA)</f>
        <v>0</v>
      </c>
      <c r="O9" s="18">
        <f t="shared" si="1"/>
        <v>0</v>
      </c>
      <c r="P9" s="17">
        <f>SUMIF('Campaign Planner'!C:C,A9,'Campaign Planner'!AB:AB)</f>
        <v>0</v>
      </c>
      <c r="Q9" s="17">
        <f>'Inputs &amp; Settings'!B22</f>
        <v>1000</v>
      </c>
      <c r="R9" s="17">
        <f t="shared" si="2"/>
        <v>0</v>
      </c>
      <c r="S9" s="18">
        <f>R9*'Inputs &amp; Settings'!B21</f>
        <v>0</v>
      </c>
      <c r="T9" s="18">
        <f t="shared" si="3"/>
        <v>0</v>
      </c>
      <c r="U9" s="18">
        <f>O9*'Inputs &amp; Settings'!B10</f>
        <v>0</v>
      </c>
      <c r="V9" s="18">
        <f>J9*'Inputs &amp; Settings'!B11</f>
        <v>0</v>
      </c>
      <c r="W9" s="18">
        <f t="shared" si="4"/>
        <v>0</v>
      </c>
      <c r="X9" s="18">
        <f>W9*'Inputs &amp; Settings'!E16</f>
        <v>0</v>
      </c>
      <c r="Y9" s="30">
        <f t="shared" si="5"/>
        <v>0</v>
      </c>
      <c r="Z9" s="31"/>
      <c r="AA9" s="31" t="e">
        <f t="shared" si="6"/>
        <v>#DIV/0!</v>
      </c>
    </row>
    <row r="10" spans="1:27" x14ac:dyDescent="0.25">
      <c r="A10" s="6" t="s">
        <v>83</v>
      </c>
      <c r="B10" s="17">
        <f>SUMIF('Campaign Planner'!C:C,A10,'Campaign Planner'!E:E)</f>
        <v>0</v>
      </c>
      <c r="C10" s="17">
        <f>SUMIF('Campaign Planner'!C:C,A10,'Campaign Planner'!O:O)</f>
        <v>0</v>
      </c>
      <c r="D10" s="17">
        <f>SUMIF('Campaign Planner'!C:C,A10,'Campaign Planner'!P:P)</f>
        <v>0</v>
      </c>
      <c r="E10" s="17">
        <f>SUMIF('Campaign Planner'!C:C,A10,'Campaign Planner'!Q:Q)</f>
        <v>0</v>
      </c>
      <c r="F10" s="17">
        <f>SUMIF('Campaign Planner'!C:C,A10,'Campaign Planner'!R:R)</f>
        <v>0</v>
      </c>
      <c r="G10" s="17">
        <f>SUMIF('Campaign Planner'!C:C,A10,'Campaign Planner'!S:S)</f>
        <v>0</v>
      </c>
      <c r="H10" s="18">
        <f>SUMIF('Campaign Planner'!C:C,A10,'Campaign Planner'!V:V)</f>
        <v>0</v>
      </c>
      <c r="I10" s="18">
        <f>SUMIF('Campaign Planner'!C:C,A10,'Campaign Planner'!W:W)</f>
        <v>0</v>
      </c>
      <c r="J10" s="18">
        <f t="shared" si="0"/>
        <v>0</v>
      </c>
      <c r="K10" s="18">
        <f>SUMIF('Campaign Planner'!C:C,A10,'Campaign Planner'!X:X)</f>
        <v>0</v>
      </c>
      <c r="L10" s="18">
        <f>SUMIF('Campaign Planner'!C:C,A10,'Campaign Planner'!Y:Y)</f>
        <v>0</v>
      </c>
      <c r="M10" s="18">
        <f>SUMIF('Campaign Planner'!C:C,A10,'Campaign Planner'!Z:Z)</f>
        <v>0</v>
      </c>
      <c r="N10" s="18">
        <f>SUMIF('Campaign Planner'!C:C,A10,'Campaign Planner'!AA:AA)</f>
        <v>0</v>
      </c>
      <c r="O10" s="18">
        <f t="shared" si="1"/>
        <v>0</v>
      </c>
      <c r="P10" s="17">
        <f>SUMIF('Campaign Planner'!C:C,A10,'Campaign Planner'!AB:AB)</f>
        <v>0</v>
      </c>
      <c r="Q10" s="17">
        <f>'Inputs &amp; Settings'!B22</f>
        <v>1000</v>
      </c>
      <c r="R10" s="17">
        <f t="shared" si="2"/>
        <v>0</v>
      </c>
      <c r="S10" s="18">
        <f>R10*'Inputs &amp; Settings'!B21</f>
        <v>0</v>
      </c>
      <c r="T10" s="18">
        <f t="shared" si="3"/>
        <v>0</v>
      </c>
      <c r="U10" s="18">
        <f>O10*'Inputs &amp; Settings'!B10</f>
        <v>0</v>
      </c>
      <c r="V10" s="18">
        <f>J10*'Inputs &amp; Settings'!B11</f>
        <v>0</v>
      </c>
      <c r="W10" s="18">
        <f t="shared" si="4"/>
        <v>0</v>
      </c>
      <c r="X10" s="18">
        <f>W10*'Inputs &amp; Settings'!E16</f>
        <v>0</v>
      </c>
      <c r="Y10" s="30">
        <f t="shared" si="5"/>
        <v>0</v>
      </c>
      <c r="Z10" s="31"/>
      <c r="AA10" s="31" t="e">
        <f t="shared" si="6"/>
        <v>#DIV/0!</v>
      </c>
    </row>
    <row r="11" spans="1:27" x14ac:dyDescent="0.25">
      <c r="A11" s="6" t="s">
        <v>84</v>
      </c>
      <c r="B11" s="17">
        <f>SUMIF('Campaign Planner'!C:C,A11,'Campaign Planner'!E:E)</f>
        <v>0</v>
      </c>
      <c r="C11" s="17">
        <f>SUMIF('Campaign Planner'!C:C,A11,'Campaign Planner'!O:O)</f>
        <v>0</v>
      </c>
      <c r="D11" s="17">
        <f>SUMIF('Campaign Planner'!C:C,A11,'Campaign Planner'!P:P)</f>
        <v>0</v>
      </c>
      <c r="E11" s="17">
        <f>SUMIF('Campaign Planner'!C:C,A11,'Campaign Planner'!Q:Q)</f>
        <v>0</v>
      </c>
      <c r="F11" s="17">
        <f>SUMIF('Campaign Planner'!C:C,A11,'Campaign Planner'!R:R)</f>
        <v>0</v>
      </c>
      <c r="G11" s="17">
        <f>SUMIF('Campaign Planner'!C:C,A11,'Campaign Planner'!S:S)</f>
        <v>0</v>
      </c>
      <c r="H11" s="18">
        <f>SUMIF('Campaign Planner'!C:C,A11,'Campaign Planner'!V:V)</f>
        <v>0</v>
      </c>
      <c r="I11" s="18">
        <f>SUMIF('Campaign Planner'!C:C,A11,'Campaign Planner'!W:W)</f>
        <v>0</v>
      </c>
      <c r="J11" s="18">
        <f t="shared" si="0"/>
        <v>0</v>
      </c>
      <c r="K11" s="18">
        <f>SUMIF('Campaign Planner'!C:C,A11,'Campaign Planner'!X:X)</f>
        <v>0</v>
      </c>
      <c r="L11" s="18">
        <f>SUMIF('Campaign Planner'!C:C,A11,'Campaign Planner'!Y:Y)</f>
        <v>0</v>
      </c>
      <c r="M11" s="18">
        <f>SUMIF('Campaign Planner'!C:C,A11,'Campaign Planner'!Z:Z)</f>
        <v>0</v>
      </c>
      <c r="N11" s="18">
        <f>SUMIF('Campaign Planner'!C:C,A11,'Campaign Planner'!AA:AA)</f>
        <v>0</v>
      </c>
      <c r="O11" s="18">
        <f t="shared" si="1"/>
        <v>0</v>
      </c>
      <c r="P11" s="17">
        <f>SUMIF('Campaign Planner'!C:C,A11,'Campaign Planner'!AB:AB)</f>
        <v>0</v>
      </c>
      <c r="Q11" s="17">
        <f>'Inputs &amp; Settings'!B22</f>
        <v>1000</v>
      </c>
      <c r="R11" s="17">
        <f t="shared" si="2"/>
        <v>0</v>
      </c>
      <c r="S11" s="18">
        <f>R11*'Inputs &amp; Settings'!B21</f>
        <v>0</v>
      </c>
      <c r="T11" s="18">
        <f t="shared" si="3"/>
        <v>0</v>
      </c>
      <c r="U11" s="18">
        <f>O11*'Inputs &amp; Settings'!B10</f>
        <v>0</v>
      </c>
      <c r="V11" s="18">
        <f>J11*'Inputs &amp; Settings'!B11</f>
        <v>0</v>
      </c>
      <c r="W11" s="18">
        <f t="shared" si="4"/>
        <v>0</v>
      </c>
      <c r="X11" s="18">
        <f>W11*'Inputs &amp; Settings'!E16</f>
        <v>0</v>
      </c>
      <c r="Y11" s="30">
        <f t="shared" si="5"/>
        <v>0</v>
      </c>
      <c r="Z11" s="31"/>
      <c r="AA11" s="31" t="e">
        <f t="shared" si="6"/>
        <v>#DIV/0!</v>
      </c>
    </row>
    <row r="12" spans="1:27" x14ac:dyDescent="0.25">
      <c r="A12" s="6" t="s">
        <v>85</v>
      </c>
      <c r="B12" s="17">
        <f>SUMIF('Campaign Planner'!C:C,A12,'Campaign Planner'!E:E)</f>
        <v>0</v>
      </c>
      <c r="C12" s="17">
        <f>SUMIF('Campaign Planner'!C:C,A12,'Campaign Planner'!O:O)</f>
        <v>0</v>
      </c>
      <c r="D12" s="17">
        <f>SUMIF('Campaign Planner'!C:C,A12,'Campaign Planner'!P:P)</f>
        <v>0</v>
      </c>
      <c r="E12" s="17">
        <f>SUMIF('Campaign Planner'!C:C,A12,'Campaign Planner'!Q:Q)</f>
        <v>0</v>
      </c>
      <c r="F12" s="17">
        <f>SUMIF('Campaign Planner'!C:C,A12,'Campaign Planner'!R:R)</f>
        <v>0</v>
      </c>
      <c r="G12" s="17">
        <f>SUMIF('Campaign Planner'!C:C,A12,'Campaign Planner'!S:S)</f>
        <v>0</v>
      </c>
      <c r="H12" s="18">
        <f>SUMIF('Campaign Planner'!C:C,A12,'Campaign Planner'!V:V)</f>
        <v>0</v>
      </c>
      <c r="I12" s="18">
        <f>SUMIF('Campaign Planner'!C:C,A12,'Campaign Planner'!W:W)</f>
        <v>0</v>
      </c>
      <c r="J12" s="18">
        <f t="shared" si="0"/>
        <v>0</v>
      </c>
      <c r="K12" s="18">
        <f>SUMIF('Campaign Planner'!C:C,A12,'Campaign Planner'!X:X)</f>
        <v>0</v>
      </c>
      <c r="L12" s="18">
        <f>SUMIF('Campaign Planner'!C:C,A12,'Campaign Planner'!Y:Y)</f>
        <v>0</v>
      </c>
      <c r="M12" s="18">
        <f>SUMIF('Campaign Planner'!C:C,A12,'Campaign Planner'!Z:Z)</f>
        <v>0</v>
      </c>
      <c r="N12" s="18">
        <f>SUMIF('Campaign Planner'!C:C,A12,'Campaign Planner'!AA:AA)</f>
        <v>0</v>
      </c>
      <c r="O12" s="18">
        <f t="shared" si="1"/>
        <v>0</v>
      </c>
      <c r="P12" s="17">
        <f>SUMIF('Campaign Planner'!C:C,A12,'Campaign Planner'!AB:AB)</f>
        <v>0</v>
      </c>
      <c r="Q12" s="17">
        <f>'Inputs &amp; Settings'!B22</f>
        <v>1000</v>
      </c>
      <c r="R12" s="17">
        <f t="shared" si="2"/>
        <v>0</v>
      </c>
      <c r="S12" s="18">
        <f>R12*'Inputs &amp; Settings'!B21</f>
        <v>0</v>
      </c>
      <c r="T12" s="18">
        <f t="shared" si="3"/>
        <v>0</v>
      </c>
      <c r="U12" s="18">
        <f>O12*'Inputs &amp; Settings'!B10</f>
        <v>0</v>
      </c>
      <c r="V12" s="18">
        <f>J12*'Inputs &amp; Settings'!B11</f>
        <v>0</v>
      </c>
      <c r="W12" s="18">
        <f t="shared" si="4"/>
        <v>0</v>
      </c>
      <c r="X12" s="18">
        <f>W12*'Inputs &amp; Settings'!E16</f>
        <v>0</v>
      </c>
      <c r="Y12" s="30">
        <f t="shared" si="5"/>
        <v>0</v>
      </c>
      <c r="Z12" s="31"/>
      <c r="AA12" s="31" t="e">
        <f t="shared" si="6"/>
        <v>#DIV/0!</v>
      </c>
    </row>
    <row r="13" spans="1:27" x14ac:dyDescent="0.25">
      <c r="A13" s="6" t="s">
        <v>86</v>
      </c>
      <c r="B13" s="17">
        <f>SUMIF('Campaign Planner'!C:C,A13,'Campaign Planner'!E:E)</f>
        <v>0</v>
      </c>
      <c r="C13" s="17">
        <f>SUMIF('Campaign Planner'!C:C,A13,'Campaign Planner'!O:O)</f>
        <v>0</v>
      </c>
      <c r="D13" s="17">
        <f>SUMIF('Campaign Planner'!C:C,A13,'Campaign Planner'!P:P)</f>
        <v>0</v>
      </c>
      <c r="E13" s="17">
        <f>SUMIF('Campaign Planner'!C:C,A13,'Campaign Planner'!Q:Q)</f>
        <v>0</v>
      </c>
      <c r="F13" s="17">
        <f>SUMIF('Campaign Planner'!C:C,A13,'Campaign Planner'!R:R)</f>
        <v>0</v>
      </c>
      <c r="G13" s="17">
        <f>SUMIF('Campaign Planner'!C:C,A13,'Campaign Planner'!S:S)</f>
        <v>0</v>
      </c>
      <c r="H13" s="18">
        <f>SUMIF('Campaign Planner'!C:C,A13,'Campaign Planner'!V:V)</f>
        <v>0</v>
      </c>
      <c r="I13" s="18">
        <f>SUMIF('Campaign Planner'!C:C,A13,'Campaign Planner'!W:W)</f>
        <v>0</v>
      </c>
      <c r="J13" s="18">
        <f t="shared" si="0"/>
        <v>0</v>
      </c>
      <c r="K13" s="18">
        <f>SUMIF('Campaign Planner'!C:C,A13,'Campaign Planner'!X:X)</f>
        <v>0</v>
      </c>
      <c r="L13" s="18">
        <f>SUMIF('Campaign Planner'!C:C,A13,'Campaign Planner'!Y:Y)</f>
        <v>0</v>
      </c>
      <c r="M13" s="18">
        <f>SUMIF('Campaign Planner'!C:C,A13,'Campaign Planner'!Z:Z)</f>
        <v>0</v>
      </c>
      <c r="N13" s="18">
        <f>SUMIF('Campaign Planner'!C:C,A13,'Campaign Planner'!AA:AA)</f>
        <v>0</v>
      </c>
      <c r="O13" s="18">
        <f t="shared" si="1"/>
        <v>0</v>
      </c>
      <c r="P13" s="17">
        <f>SUMIF('Campaign Planner'!C:C,A13,'Campaign Planner'!AB:AB)</f>
        <v>0</v>
      </c>
      <c r="Q13" s="17">
        <f>'Inputs &amp; Settings'!B22</f>
        <v>1000</v>
      </c>
      <c r="R13" s="17">
        <f t="shared" si="2"/>
        <v>0</v>
      </c>
      <c r="S13" s="18">
        <f>R13*'Inputs &amp; Settings'!B21</f>
        <v>0</v>
      </c>
      <c r="T13" s="18">
        <f t="shared" si="3"/>
        <v>0</v>
      </c>
      <c r="U13" s="18">
        <f>O13*'Inputs &amp; Settings'!B10</f>
        <v>0</v>
      </c>
      <c r="V13" s="18">
        <f>J13*'Inputs &amp; Settings'!B11</f>
        <v>0</v>
      </c>
      <c r="W13" s="18">
        <f t="shared" si="4"/>
        <v>0</v>
      </c>
      <c r="X13" s="18">
        <f>W13*'Inputs &amp; Settings'!E16</f>
        <v>0</v>
      </c>
      <c r="Y13" s="30">
        <f t="shared" si="5"/>
        <v>0</v>
      </c>
      <c r="Z13" s="31"/>
      <c r="AA13" s="31" t="e">
        <f t="shared" si="6"/>
        <v>#DIV/0!</v>
      </c>
    </row>
    <row r="14" spans="1:27" x14ac:dyDescent="0.25">
      <c r="A14" s="6" t="s">
        <v>87</v>
      </c>
      <c r="B14" s="17">
        <f>SUMIF('Campaign Planner'!C:C,A14,'Campaign Planner'!E:E)</f>
        <v>0</v>
      </c>
      <c r="C14" s="17">
        <f>SUMIF('Campaign Planner'!C:C,A14,'Campaign Planner'!O:O)</f>
        <v>0</v>
      </c>
      <c r="D14" s="17">
        <f>SUMIF('Campaign Planner'!C:C,A14,'Campaign Planner'!P:P)</f>
        <v>0</v>
      </c>
      <c r="E14" s="17">
        <f>SUMIF('Campaign Planner'!C:C,A14,'Campaign Planner'!Q:Q)</f>
        <v>0</v>
      </c>
      <c r="F14" s="17">
        <f>SUMIF('Campaign Planner'!C:C,A14,'Campaign Planner'!R:R)</f>
        <v>0</v>
      </c>
      <c r="G14" s="17">
        <f>SUMIF('Campaign Planner'!C:C,A14,'Campaign Planner'!S:S)</f>
        <v>0</v>
      </c>
      <c r="H14" s="18">
        <f>SUMIF('Campaign Planner'!C:C,A14,'Campaign Planner'!V:V)</f>
        <v>0</v>
      </c>
      <c r="I14" s="18">
        <f>SUMIF('Campaign Planner'!C:C,A14,'Campaign Planner'!W:W)</f>
        <v>0</v>
      </c>
      <c r="J14" s="18">
        <f t="shared" si="0"/>
        <v>0</v>
      </c>
      <c r="K14" s="18">
        <f>SUMIF('Campaign Planner'!C:C,A14,'Campaign Planner'!X:X)</f>
        <v>0</v>
      </c>
      <c r="L14" s="18">
        <f>SUMIF('Campaign Planner'!C:C,A14,'Campaign Planner'!Y:Y)</f>
        <v>0</v>
      </c>
      <c r="M14" s="18">
        <f>SUMIF('Campaign Planner'!C:C,A14,'Campaign Planner'!Z:Z)</f>
        <v>0</v>
      </c>
      <c r="N14" s="18">
        <f>SUMIF('Campaign Planner'!C:C,A14,'Campaign Planner'!AA:AA)</f>
        <v>0</v>
      </c>
      <c r="O14" s="18">
        <f t="shared" si="1"/>
        <v>0</v>
      </c>
      <c r="P14" s="17">
        <f>SUMIF('Campaign Planner'!C:C,A14,'Campaign Planner'!AB:AB)</f>
        <v>0</v>
      </c>
      <c r="Q14" s="17">
        <f>'Inputs &amp; Settings'!B22</f>
        <v>1000</v>
      </c>
      <c r="R14" s="17">
        <f t="shared" si="2"/>
        <v>0</v>
      </c>
      <c r="S14" s="18">
        <f>R14*'Inputs &amp; Settings'!B21</f>
        <v>0</v>
      </c>
      <c r="T14" s="18">
        <f t="shared" si="3"/>
        <v>0</v>
      </c>
      <c r="U14" s="18">
        <f>O14*'Inputs &amp; Settings'!B10</f>
        <v>0</v>
      </c>
      <c r="V14" s="18">
        <f>J14*'Inputs &amp; Settings'!B11</f>
        <v>0</v>
      </c>
      <c r="W14" s="18">
        <f t="shared" si="4"/>
        <v>0</v>
      </c>
      <c r="X14" s="18">
        <f>W14*'Inputs &amp; Settings'!E16</f>
        <v>0</v>
      </c>
      <c r="Y14" s="30">
        <f t="shared" si="5"/>
        <v>0</v>
      </c>
      <c r="Z14" s="31"/>
      <c r="AA14" s="31" t="e">
        <f t="shared" si="6"/>
        <v>#DIV/0!</v>
      </c>
    </row>
    <row r="16" spans="1:27" x14ac:dyDescent="0.25">
      <c r="A16" s="5" t="s">
        <v>47</v>
      </c>
      <c r="B16" s="2" t="s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showGridLines="0" workbookViewId="0">
      <selection activeCell="D16" sqref="D16"/>
    </sheetView>
  </sheetViews>
  <sheetFormatPr baseColWidth="10" defaultColWidth="9.140625" defaultRowHeight="15" x14ac:dyDescent="0.25"/>
  <cols>
    <col min="1" max="1" width="28" customWidth="1"/>
    <col min="2" max="2" width="18" customWidth="1"/>
    <col min="3" max="3" width="2" customWidth="1"/>
    <col min="4" max="4" width="22" customWidth="1"/>
    <col min="5" max="5" width="18" customWidth="1"/>
  </cols>
  <sheetData>
    <row r="1" spans="1:5" ht="18.75" x14ac:dyDescent="0.3">
      <c r="A1" s="19" t="s">
        <v>89</v>
      </c>
    </row>
    <row r="3" spans="1:5" x14ac:dyDescent="0.25">
      <c r="A3" s="3" t="s">
        <v>37</v>
      </c>
      <c r="B3" s="20" t="s">
        <v>10</v>
      </c>
      <c r="D3" s="3" t="s">
        <v>90</v>
      </c>
      <c r="E3" s="21">
        <f>ROUND(B4*(1-B5),0)</f>
        <v>500</v>
      </c>
    </row>
    <row r="4" spans="1:5" x14ac:dyDescent="0.25">
      <c r="A4" s="3" t="s">
        <v>64</v>
      </c>
      <c r="B4" s="14">
        <v>500</v>
      </c>
      <c r="D4" s="3" t="s">
        <v>91</v>
      </c>
      <c r="E4" s="22">
        <f>E3*IFERROR(VLOOKUP(B3,'Inputs &amp; Settings'!D6:E9,2,FALSE),0)</f>
        <v>44.45</v>
      </c>
    </row>
    <row r="5" spans="1:5" x14ac:dyDescent="0.25">
      <c r="A5" s="3" t="s">
        <v>39</v>
      </c>
      <c r="B5" s="15">
        <v>0</v>
      </c>
      <c r="D5" s="3" t="s">
        <v>92</v>
      </c>
      <c r="E5" s="22">
        <f>E3*'Inputs &amp; Settings'!B15</f>
        <v>2.5</v>
      </c>
    </row>
    <row r="6" spans="1:5" x14ac:dyDescent="0.25">
      <c r="A6" s="3" t="s">
        <v>40</v>
      </c>
      <c r="B6" s="15">
        <v>0.2</v>
      </c>
      <c r="D6" s="3" t="s">
        <v>50</v>
      </c>
      <c r="E6" s="21">
        <f>ROUND(E3*B6,0)</f>
        <v>100</v>
      </c>
    </row>
    <row r="7" spans="1:5" ht="30" x14ac:dyDescent="0.25">
      <c r="A7" s="3" t="s">
        <v>93</v>
      </c>
      <c r="B7" s="20">
        <v>1</v>
      </c>
      <c r="D7" s="3" t="s">
        <v>94</v>
      </c>
      <c r="E7" s="21">
        <f>ROUND(E6*B7,0)</f>
        <v>100</v>
      </c>
    </row>
    <row r="8" spans="1:5" x14ac:dyDescent="0.25">
      <c r="A8" s="3" t="s">
        <v>95</v>
      </c>
      <c r="B8" s="20">
        <v>1</v>
      </c>
      <c r="D8" s="3" t="s">
        <v>96</v>
      </c>
      <c r="E8" s="21">
        <f>ROUND(E6*B8,0)</f>
        <v>100</v>
      </c>
    </row>
    <row r="9" spans="1:5" x14ac:dyDescent="0.25">
      <c r="A9" s="3" t="s">
        <v>97</v>
      </c>
      <c r="B9" s="15">
        <v>0</v>
      </c>
      <c r="D9" s="3" t="s">
        <v>98</v>
      </c>
      <c r="E9" s="22">
        <f>E7*'Inputs &amp; Settings'!B16</f>
        <v>0.5</v>
      </c>
    </row>
    <row r="10" spans="1:5" x14ac:dyDescent="0.25">
      <c r="A10" s="4"/>
      <c r="B10" s="21"/>
      <c r="D10" s="3" t="s">
        <v>99</v>
      </c>
      <c r="E10" s="22">
        <f>E8*'Inputs &amp; Settings'!B15</f>
        <v>0.5</v>
      </c>
    </row>
    <row r="11" spans="1:5" x14ac:dyDescent="0.25">
      <c r="A11" s="4"/>
      <c r="B11" s="21"/>
      <c r="D11" s="3" t="s">
        <v>100</v>
      </c>
      <c r="E11" s="22">
        <f>E4+E5+E9+E10</f>
        <v>47.95</v>
      </c>
    </row>
  </sheetData>
  <dataValidations count="1">
    <dataValidation type="list" sqref="B3" xr:uid="{00000000-0002-0000-0300-000000000000}">
      <formula1>"Marketing,Utility,Authentication,Service"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Inputs &amp; Settings</vt:lpstr>
      <vt:lpstr>Campaign Planner</vt:lpstr>
      <vt:lpstr>Monthly Summary</vt:lpstr>
      <vt:lpstr>Quick 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dennys parra</cp:lastModifiedBy>
  <dcterms:created xsi:type="dcterms:W3CDTF">2026-01-10T02:21:17Z</dcterms:created>
  <dcterms:modified xsi:type="dcterms:W3CDTF">2026-01-10T03:30:14Z</dcterms:modified>
</cp:coreProperties>
</file>